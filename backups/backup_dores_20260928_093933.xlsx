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-710" windowWidth="19420" windowHeight="11500" tabRatio="600" firstSheet="0" activeTab="1" autoFilterDateGrouping="1"/>
  </bookViews>
  <sheets>
    <sheet name="Indicadores" sheetId="1" state="visible" r:id="rId1"/>
    <sheet name="Monitoramento de Dores" sheetId="2" state="visible" r:id="rId2"/>
    <sheet name="Parâ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R\$\ #,##0.00;[Red]\(\R\$\ #,##0.00\);\-"/>
    <numFmt numFmtId="165" formatCode="0.0"/>
    <numFmt numFmtId="166" formatCode="0.0\ &quot;dias&quot;"/>
    <numFmt numFmtId="167" formatCode="\R\$\ 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8"/>
    </font>
    <font>
      <name val="Calibri"/>
      <family val="2"/>
      <b val="1"/>
      <color rgb="FF17365D"/>
      <sz val="2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2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166" fontId="4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7" fontId="4" fillId="4" borderId="0" applyAlignment="1" pivotButton="0" quotePrefix="0" xfId="0">
      <alignment horizontal="center" vertical="center"/>
    </xf>
    <xf numFmtId="0" fontId="0" fillId="0" borderId="0" pivotButton="0" quotePrefix="0" xfId="0"/>
    <xf numFmtId="167" fontId="4" fillId="4" borderId="0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applyAlignment="1" pivotButton="0" quotePrefix="0" xfId="0">
      <alignment vertical="top"/>
    </xf>
  </cellXfs>
  <cellStyles count="1">
    <cellStyle name="Normal" xfId="0" builtinId="0"/>
  </cellStyles>
  <dxfs count="6">
    <dxf>
      <font>
        <b val="1"/>
        <color rgb="FF1F4E78"/>
      </font>
      <fill>
        <patternFill patternType="solid">
          <fgColor rgb="FFD9EAF7"/>
        </patternFill>
      </fill>
    </dxf>
    <dxf>
      <font>
        <b val="1"/>
        <color rgb="FF006100"/>
      </font>
      <fill>
        <patternFill patternType="solid">
          <fgColor rgb="FFD9EAD3"/>
        </patternFill>
      </fill>
    </dxf>
    <dxf>
      <font>
        <b val="1"/>
        <color rgb="FF9C5700"/>
      </font>
      <fill>
        <patternFill patternType="solid">
          <fgColor rgb="FFFCE5CD"/>
        </patternFill>
      </fill>
    </dxf>
    <dxf>
      <font>
        <b val="1"/>
        <color rgb="FF9C0006"/>
      </font>
      <fill>
        <patternFill patternType="solid">
          <fgColor rgb="FFF4CCCC"/>
        </patternFill>
      </fill>
    </dxf>
    <dxf>
      <alignment horizontal="general" vertical="top"/>
    </dxf>
    <dxf>
      <alignment horizontal="general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Ocorrências por Status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409333307664171"/>
          <y val="0.1983122362869198"/>
          <w val="0.9090118013976859"/>
          <h val="0.5609349147812219"/>
        </manualLayout>
      </layout>
      <barChart>
        <barDir val="col"/>
        <grouping val="clustered"/>
        <varyColors val="1"/>
        <ser>
          <idx val="0"/>
          <order val="0"/>
          <tx>
            <strRef>
              <f>Indicadores!$B$12</f>
              <strCache>
                <ptCount val="1"/>
                <pt idx="0">
                  <v>Quantidade</v>
                </pt>
              </strCache>
            </strRef>
          </tx>
          <spPr>
            <a:ln>
              <a:prstDash val="solid"/>
            </a:ln>
          </spPr>
          <invertIfNegative val="1"/>
          <dPt>
            <idx val="0"/>
            <invertIfNegative val="1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invertIfNegative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invertIfNegative val="1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invertIfNegative val="1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invertIfNegative val="1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invertIfNegative val="1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cat>
            <strRef>
              <f>Indicadores!$A$13:$A$18</f>
              <strCache>
                <ptCount val="6"/>
                <pt idx="0">
                  <v>Aberto</v>
                </pt>
                <pt idx="1">
                  <v>Em Análise</v>
                </pt>
                <pt idx="2">
                  <v>Em Tratativa</v>
                </pt>
                <pt idx="3">
                  <v>Aguardando Terceiros</v>
                </pt>
                <pt idx="4">
                  <v>Concluído</v>
                </pt>
                <pt idx="5">
                  <v>Cancelado</v>
                </pt>
              </strCache>
            </strRef>
          </cat>
          <val>
            <numRef>
              <f>Indicadores!$B$13:$B$18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Tempo Médio de Resolução por Categoria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bar"/>
        <grouping val="clustered"/>
        <varyColors val="1"/>
        <ser>
          <idx val="0"/>
          <order val="0"/>
          <tx>
            <strRef>
              <f>Indicadores!$H$12</f>
              <strCache>
                <ptCount val="1"/>
                <pt idx="0">
                  <v>Tempo Médio (dias)</v>
                </pt>
              </strCache>
            </strRef>
          </tx>
          <spPr>
            <a:ln>
              <a:prstDash val="solid"/>
            </a:ln>
          </spPr>
          <invertIfNegative val="1"/>
          <dPt>
            <idx val="0"/>
            <invertIfNegative val="1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invertIfNegative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invertIfNegative val="1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invertIfNegative val="1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invertIfNegative val="1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invertIfNegative val="1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6"/>
            <invertIfNegative val="1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7"/>
            <invertIfNegative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8"/>
            <invertIfNegative val="1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9"/>
            <invertIfNegative val="1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cat>
            <strRef>
              <f>Indicadores!$G$13:$G$22</f>
              <strCache>
                <ptCount val="10"/>
                <pt idx="0">
                  <v>Fiscal</v>
                </pt>
                <pt idx="1">
                  <v>Estoque</v>
                </pt>
                <pt idx="2">
                  <v>Financeiro</v>
                </pt>
                <pt idx="3">
                  <v>Faturamento</v>
                </pt>
                <pt idx="4">
                  <v>Logística</v>
                </pt>
                <pt idx="5">
                  <v>Comercial</v>
                </pt>
                <pt idx="6">
                  <v>TI/Sistemas</v>
                </pt>
                <pt idx="7">
                  <v>Qualidade</v>
                </pt>
                <pt idx="8">
                  <v>Compliance</v>
                </pt>
                <pt idx="9">
                  <v>Outros</v>
                </pt>
              </strCache>
            </strRef>
          </cat>
          <val>
            <numRef>
              <f>Indicadores!$H$13:$H$22</f>
              <numCache>
                <formatCode>0.0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5"/>
        <overlap val="-20"/>
        <axId val="10"/>
        <axId val="100"/>
      </barChart>
      <catAx>
        <axId val="1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95250</rowOff>
    </from>
    <ext cx="5194300" cy="3009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463550</colOff>
      <row>23</row>
      <rowOff>82550</rowOff>
    </from>
    <ext cx="5708650" cy="30988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Dores" displayName="tbDores" ref="A1:AD1001" headerRowCount="1">
  <autoFilter ref="A1:AD1001"/>
  <tableColumns count="30">
    <tableColumn id="1" name="ID"/>
    <tableColumn id="2" name="Data da Ocorrência"/>
    <tableColumn id="3" name="Data de Registro"/>
    <tableColumn id="4" name="Responsável"/>
    <tableColumn id="5" name="Setor Responsável"/>
    <tableColumn id="6" name="Setor Impactado"/>
    <tableColumn id="7" name="Filial"/>
    <tableColumn id="8" name="Categoria da Dor"/>
    <tableColumn id="30" name="Nota Fiscal" dataDxfId="5"/>
    <tableColumn id="31" name="Série" dataDxfId="4"/>
    <tableColumn id="9" name="Descrição do Problema"/>
    <tableColumn id="10" name="Causa Raiz"/>
    <tableColumn id="11" name="Impacto no Negócio"/>
    <tableColumn id="12" name="Qtd. Da  Nota (em kg)"/>
    <tableColumn id="13" name="Valor das Notas (R$)"/>
    <tableColumn id="14" name="Prioridade"/>
    <tableColumn id="15" name="Status"/>
    <tableColumn id="16" name="Plano de Ação"/>
    <tableColumn id="17" name="Prazo"/>
    <tableColumn id="18" name="Data Conclusão"/>
    <tableColumn id="19" name="Dias em Aberto"/>
    <tableColumn id="20" name="Recorrente?"/>
    <tableColumn id="21" name="Observações"/>
    <tableColumn id="22" name="SLA (dias)"/>
    <tableColumn id="23" name="Data Limite SLA"/>
    <tableColumn id="24" name="Situação SLA"/>
    <tableColumn id="25" name="Dias para Vencimento"/>
    <tableColumn id="26" name="Responsável pela Solução"/>
    <tableColumn id="27" name="Nº Chamado"/>
    <tableColumn id="29" name="Última Atualiz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topLeftCell="A4" workbookViewId="0">
      <selection activeCell="E22" sqref="E22"/>
    </sheetView>
  </sheetViews>
  <sheetFormatPr baseColWidth="8" defaultRowHeight="15"/>
  <cols>
    <col width="18" customWidth="1" style="18" min="1" max="8"/>
  </cols>
  <sheetData>
    <row r="1">
      <c r="A1" s="11" t="inlineStr">
        <is>
          <t>PAINEL EXECUTIVO | MONITORAMENTO DE DORES</t>
        </is>
      </c>
    </row>
    <row r="2"/>
    <row r="4">
      <c r="A4" s="15" t="inlineStr">
        <is>
          <t>Total de Ocorrências</t>
        </is>
      </c>
      <c r="C4" s="15" t="inlineStr">
        <is>
          <t>Ocorrências Abertas</t>
        </is>
      </c>
      <c r="E4" s="15" t="inlineStr">
        <is>
          <t>SLA Vencido</t>
        </is>
      </c>
      <c r="G4" s="15" t="inlineStr">
        <is>
          <t>Valor das Notas</t>
        </is>
      </c>
    </row>
    <row r="5">
      <c r="A5" s="16">
        <f>COUNT('Monitoramento de Dores'!A2:A1001)</f>
        <v/>
      </c>
      <c r="C5" s="16">
        <f>COUNTIFS('Monitoramento de Dores'!Q2:Q1001,"&lt;&gt;Concluído",'Monitoramento de Dores'!Q2:Q1001,"&lt;&gt;Cancelado",'Monitoramento de Dores'!C2:C1001,"&lt;&gt;")</f>
        <v/>
      </c>
      <c r="E5" s="16">
        <f>COUNTIF('Monitoramento de Dores'!Z2:Z1001,"Vencido")</f>
        <v/>
      </c>
      <c r="G5" s="19">
        <f>SUM('Monitoramento de Dores'!O2:O1001)</f>
        <v/>
      </c>
    </row>
    <row r="6"/>
    <row r="8">
      <c r="A8" s="13" t="inlineStr">
        <is>
          <t>Tempo Médio de Resolução (dias)</t>
        </is>
      </c>
      <c r="C8" s="13" t="inlineStr">
        <is>
          <t>Tempo Médio em Aberto (dias)</t>
        </is>
      </c>
    </row>
    <row r="9">
      <c r="A9" s="14">
        <f>IFERROR(AVERAGEIFS('Monitoramento de Dores'!U2:U1001,'Monitoramento de Dores'!Q2:Q1001,"Concluído",'Monitoramento de Dores'!U2:U1001,"&gt;=0"),0)</f>
        <v/>
      </c>
      <c r="C9" s="14">
        <f>IFERROR(AVERAGEIFS('Monitoramento de Dores'!U2:U1001,'Monitoramento de Dores'!Q2:Q1001,"&lt;&gt;Concluído",'Monitoramento de Dores'!Q2:Q1001,"&lt;&gt;Cancelado",'Monitoramento de Dores'!C2:C1001,"&lt;&gt;"),0)</f>
        <v/>
      </c>
      <c r="E9" s="1" t="inlineStr">
        <is>
          <t>Quantidade</t>
        </is>
      </c>
    </row>
    <row r="10">
      <c r="E10">
        <f>COUNTIF('Monitoramento de Dores'!Z:Z,D10)</f>
        <v/>
      </c>
    </row>
    <row r="11">
      <c r="A11" t="inlineStr">
        <is>
          <t>Em Análise</t>
        </is>
      </c>
      <c r="B11">
        <f>COUNTIF('Monitoramento de Dores'!Q:Q,A11)</f>
        <v/>
      </c>
      <c r="D11" t="inlineStr">
        <is>
          <t>A vencer</t>
        </is>
      </c>
      <c r="E11">
        <f>COUNTIF('Monitoramento de Dores'!Z:Z,D11)</f>
        <v/>
      </c>
    </row>
    <row r="12">
      <c r="A12" s="1" t="inlineStr">
        <is>
          <t>Status</t>
        </is>
      </c>
      <c r="B12" s="1" t="inlineStr">
        <is>
          <t>Quantidade</t>
        </is>
      </c>
      <c r="D12" s="1" t="inlineStr">
        <is>
          <t>Situação SLA</t>
        </is>
      </c>
      <c r="E12" s="1" t="inlineStr">
        <is>
          <t>Quantidade</t>
        </is>
      </c>
      <c r="G12" s="1" t="inlineStr">
        <is>
          <t>Categoria</t>
        </is>
      </c>
      <c r="H12" s="1" t="inlineStr">
        <is>
          <t>Tempo Médio (dias)</t>
        </is>
      </c>
    </row>
    <row r="13">
      <c r="A13" t="inlineStr">
        <is>
          <t>Aberto</t>
        </is>
      </c>
      <c r="B13">
        <f>COUNTIF('Monitoramento de Dores'!Q:Q,A13)</f>
        <v/>
      </c>
      <c r="D13" t="inlineStr">
        <is>
          <t>No prazo</t>
        </is>
      </c>
      <c r="E13">
        <f>COUNTIF('Monitoramento de Dores'!Z:Z,D13)</f>
        <v/>
      </c>
      <c r="G13" t="inlineStr">
        <is>
          <t>Fiscal</t>
        </is>
      </c>
      <c r="H13" s="20">
        <f>IFERROR(AVERAGEIFS('Monitoramento de Dores'!U:U,'Monitoramento de Dores'!H:H,G13,'Monitoramento de Dores'!Q:Q,"Concluído"),0)</f>
        <v/>
      </c>
    </row>
    <row r="14">
      <c r="A14" t="inlineStr">
        <is>
          <t>Em Análise</t>
        </is>
      </c>
      <c r="B14">
        <f>COUNTIF('Monitoramento de Dores'!Q:Q,A14)</f>
        <v/>
      </c>
      <c r="D14" t="inlineStr">
        <is>
          <t>A vencer</t>
        </is>
      </c>
      <c r="E14">
        <f>COUNTIF('Monitoramento de Dores'!Z:Z,D14)</f>
        <v/>
      </c>
      <c r="G14" t="inlineStr">
        <is>
          <t>Estoque</t>
        </is>
      </c>
      <c r="H14" s="20">
        <f>IFERROR(AVERAGEIFS('Monitoramento de Dores'!U:U,'Monitoramento de Dores'!H:H,G14,'Monitoramento de Dores'!Q:Q,"Concluído"),0)</f>
        <v/>
      </c>
    </row>
    <row r="15">
      <c r="A15" t="inlineStr">
        <is>
          <t>Em Tratativa</t>
        </is>
      </c>
      <c r="B15">
        <f>COUNTIF('Monitoramento de Dores'!Q:Q,A15)</f>
        <v/>
      </c>
      <c r="D15" t="inlineStr">
        <is>
          <t>Vencido</t>
        </is>
      </c>
      <c r="E15">
        <f>COUNTIF('Monitoramento de Dores'!Z:Z,D15)</f>
        <v/>
      </c>
      <c r="G15" t="inlineStr">
        <is>
          <t>Financeiro</t>
        </is>
      </c>
      <c r="H15" s="20">
        <f>IFERROR(AVERAGEIFS('Monitoramento de Dores'!U:U,'Monitoramento de Dores'!H:H,G15,'Monitoramento de Dores'!Q:Q,"Concluído"),0)</f>
        <v/>
      </c>
    </row>
    <row r="16">
      <c r="A16" t="inlineStr">
        <is>
          <t>Aguardando Terceiros</t>
        </is>
      </c>
      <c r="B16">
        <f>COUNTIF('Monitoramento de Dores'!Q:Q,A16)</f>
        <v/>
      </c>
      <c r="D16" t="inlineStr">
        <is>
          <t>Concluído</t>
        </is>
      </c>
      <c r="E16">
        <f>COUNTIF('Monitoramento de Dores'!Z:Z,D16)</f>
        <v/>
      </c>
      <c r="G16" t="inlineStr">
        <is>
          <t>Faturamento</t>
        </is>
      </c>
      <c r="H16" s="20">
        <f>IFERROR(AVERAGEIFS('Monitoramento de Dores'!U:U,'Monitoramento de Dores'!H:H,G16,'Monitoramento de Dores'!Q:Q,"Concluído"),0)</f>
        <v/>
      </c>
    </row>
    <row r="17">
      <c r="A17" t="inlineStr">
        <is>
          <t>Concluído</t>
        </is>
      </c>
      <c r="B17">
        <f>COUNTIF('Monitoramento de Dores'!Q:Q,A17)</f>
        <v/>
      </c>
      <c r="G17" t="inlineStr">
        <is>
          <t>Logística</t>
        </is>
      </c>
      <c r="H17" s="20">
        <f>IFERROR(AVERAGEIFS('Monitoramento de Dores'!U:U,'Monitoramento de Dores'!H:H,G17,'Monitoramento de Dores'!Q:Q,"Concluído"),0)</f>
        <v/>
      </c>
    </row>
    <row r="18">
      <c r="A18" t="inlineStr">
        <is>
          <t>Cancelado</t>
        </is>
      </c>
      <c r="B18">
        <f>COUNTIF('Monitoramento de Dores'!Q:Q,A18)</f>
        <v/>
      </c>
      <c r="G18" t="inlineStr">
        <is>
          <t>Comercial</t>
        </is>
      </c>
      <c r="H18" s="20">
        <f>IFERROR(AVERAGEIFS('Monitoramento de Dores'!U:U,'Monitoramento de Dores'!H:H,G18,'Monitoramento de Dores'!Q:Q,"Concluído"),0)</f>
        <v/>
      </c>
    </row>
    <row r="19">
      <c r="G19" t="inlineStr">
        <is>
          <t>TI/Sistemas</t>
        </is>
      </c>
      <c r="H19" s="20">
        <f>IFERROR(AVERAGEIFS('Monitoramento de Dores'!U:U,'Monitoramento de Dores'!H:H,G19,'Monitoramento de Dores'!Q:Q,"Concluído"),0)</f>
        <v/>
      </c>
    </row>
    <row r="20">
      <c r="G20" t="inlineStr">
        <is>
          <t>Qualidade</t>
        </is>
      </c>
      <c r="H20" s="20">
        <f>IFERROR(AVERAGEIFS('Monitoramento de Dores'!U:U,'Monitoramento de Dores'!H:H,G20,'Monitoramento de Dores'!Q:Q,"Concluído"),0)</f>
        <v/>
      </c>
    </row>
    <row r="21">
      <c r="G21" t="inlineStr">
        <is>
          <t>Compliance</t>
        </is>
      </c>
      <c r="H21" s="20">
        <f>IFERROR(AVERAGEIFS('Monitoramento de Dores'!U:U,'Monitoramento de Dores'!H:H,G21,'Monitoramento de Dores'!Q:Q,"Concluído"),0)</f>
        <v/>
      </c>
    </row>
    <row r="22">
      <c r="G22" t="inlineStr">
        <is>
          <t>Outros</t>
        </is>
      </c>
      <c r="H22" s="20">
        <f>IFERROR(AVERAGEIFS('Monitoramento de Dores'!U:U,'Monitoramento de Dores'!H:H,G22,'Monitoramento de Dores'!Q:Q,"Concluído"),0)</f>
        <v/>
      </c>
    </row>
  </sheetData>
  <mergeCells count="13">
    <mergeCell ref="A4:B4"/>
    <mergeCell ref="G4:H4"/>
    <mergeCell ref="E4:F4"/>
    <mergeCell ref="C5:D6"/>
    <mergeCell ref="A5:B6"/>
    <mergeCell ref="G5:H6"/>
    <mergeCell ref="E5:F6"/>
    <mergeCell ref="A1:H2"/>
    <mergeCell ref="C9:D10"/>
    <mergeCell ref="A9:B10"/>
    <mergeCell ref="A8:B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1"/>
  <sheetViews>
    <sheetView showGridLines="0" tabSelected="1" topLeftCell="S1" zoomScale="70" zoomScaleNormal="70" workbookViewId="0">
      <pane ySplit="1" topLeftCell="A2" activePane="bottomLeft" state="frozen"/>
      <selection pane="bottomLeft" activeCell="V2" sqref="V2"/>
    </sheetView>
  </sheetViews>
  <sheetFormatPr baseColWidth="8" defaultRowHeight="15"/>
  <cols>
    <col width="9.28515625" bestFit="1" customWidth="1" style="18" min="1" max="1"/>
    <col width="23.5703125" bestFit="1" customWidth="1" style="18" min="2" max="2"/>
    <col width="21.42578125" bestFit="1" customWidth="1" style="18" min="3" max="3"/>
    <col width="19" bestFit="1" customWidth="1" style="18" min="4" max="4"/>
    <col width="23.28515625" bestFit="1" customWidth="1" style="18" min="5" max="5"/>
    <col width="21.42578125" bestFit="1" customWidth="1" style="18" min="6" max="6"/>
    <col width="11.5703125" bestFit="1" customWidth="1" style="18" min="7" max="7"/>
    <col width="21.42578125" bestFit="1" customWidth="1" style="18" min="8" max="8"/>
    <col width="16.5703125" bestFit="1" customWidth="1" style="18" min="9" max="9"/>
    <col width="11.85546875" bestFit="1" customWidth="1" style="18" min="10" max="10"/>
    <col width="48" bestFit="1" customWidth="1" style="18" min="11" max="11"/>
    <col width="16.28515625" bestFit="1" customWidth="1" style="18" min="12" max="12"/>
    <col width="24.5703125" bestFit="1" customWidth="1" style="18" min="13" max="13"/>
    <col width="21.85546875" customWidth="1" style="18" min="14" max="14"/>
    <col width="24.5703125" bestFit="1" customWidth="1" style="18" min="15" max="15"/>
    <col width="20.28515625" customWidth="1" style="18" min="16" max="16"/>
    <col width="20.5703125" bestFit="1" customWidth="1" style="18" min="17" max="17"/>
    <col width="156.28515625" bestFit="1" customWidth="1" style="18" min="18" max="18"/>
    <col width="12.140625" bestFit="1" customWidth="1" style="18" min="19" max="19"/>
    <col width="20.42578125" bestFit="1" customWidth="1" style="18" min="20" max="20"/>
    <col width="20.5703125" bestFit="1" customWidth="1" style="18" min="21" max="21"/>
    <col width="17.85546875" bestFit="1" customWidth="1" style="18" min="22" max="22"/>
    <col width="18.28515625" bestFit="1" customWidth="1" style="18" min="23" max="23"/>
    <col width="15.7109375" bestFit="1" customWidth="1" style="18" min="24" max="24"/>
    <col width="20.5703125" bestFit="1" customWidth="1" style="18" min="25" max="25"/>
    <col width="18" customWidth="1" style="18" min="26" max="26"/>
    <col width="26.140625" bestFit="1" customWidth="1" style="18" min="27" max="27"/>
    <col width="29.5703125" bestFit="1" customWidth="1" style="18" min="28" max="28"/>
    <col width="18.140625" bestFit="1" customWidth="1" style="18" min="29" max="29"/>
    <col width="23.5703125" bestFit="1" customWidth="1" style="18" min="30" max="30"/>
  </cols>
  <sheetData>
    <row r="1" ht="38.1" customHeight="1" s="18">
      <c r="A1" s="2" t="inlineStr">
        <is>
          <t>ID</t>
        </is>
      </c>
      <c r="B1" s="2" t="inlineStr">
        <is>
          <t>Data da Ocorrência</t>
        </is>
      </c>
      <c r="C1" s="2" t="inlineStr">
        <is>
          <t>Data de Registro</t>
        </is>
      </c>
      <c r="D1" s="2" t="inlineStr">
        <is>
          <t>Responsável</t>
        </is>
      </c>
      <c r="E1" s="2" t="inlineStr">
        <is>
          <t>Setor Responsável</t>
        </is>
      </c>
      <c r="F1" s="2" t="inlineStr">
        <is>
          <t>Setor Impactado</t>
        </is>
      </c>
      <c r="G1" s="2" t="inlineStr">
        <is>
          <t>Filial</t>
        </is>
      </c>
      <c r="H1" s="2" t="inlineStr">
        <is>
          <t>Categoria da Dor</t>
        </is>
      </c>
      <c r="I1" s="2" t="inlineStr">
        <is>
          <t>Nota Fiscal</t>
        </is>
      </c>
      <c r="J1" s="2" t="inlineStr">
        <is>
          <t>Série</t>
        </is>
      </c>
      <c r="K1" s="2" t="inlineStr">
        <is>
          <t>Descrição do Problema</t>
        </is>
      </c>
      <c r="L1" s="2" t="inlineStr">
        <is>
          <t>Causa Raiz</t>
        </is>
      </c>
      <c r="M1" s="2" t="inlineStr">
        <is>
          <t>Impacto no Negócio</t>
        </is>
      </c>
      <c r="N1" s="2" t="inlineStr">
        <is>
          <t>Qtd. Da  Nota (em kg)</t>
        </is>
      </c>
      <c r="O1" s="2" t="inlineStr">
        <is>
          <t>Valor das Notas (R$)</t>
        </is>
      </c>
      <c r="P1" s="2" t="inlineStr">
        <is>
          <t>Prioridade</t>
        </is>
      </c>
      <c r="Q1" s="2" t="inlineStr">
        <is>
          <t>Status</t>
        </is>
      </c>
      <c r="R1" s="2" t="inlineStr">
        <is>
          <t>Plano de Ação</t>
        </is>
      </c>
      <c r="S1" s="2" t="inlineStr">
        <is>
          <t>Prazo</t>
        </is>
      </c>
      <c r="T1" s="2" t="inlineStr">
        <is>
          <t>Data Conclusão</t>
        </is>
      </c>
      <c r="U1" s="2" t="inlineStr">
        <is>
          <t>Dias em Aberto</t>
        </is>
      </c>
      <c r="V1" s="2" t="inlineStr">
        <is>
          <t>Recorrente?</t>
        </is>
      </c>
      <c r="W1" s="2" t="inlineStr">
        <is>
          <t>Observações</t>
        </is>
      </c>
      <c r="X1" s="2" t="inlineStr">
        <is>
          <t>SLA (dias)</t>
        </is>
      </c>
      <c r="Y1" s="2" t="inlineStr">
        <is>
          <t>Data Limite SLA</t>
        </is>
      </c>
      <c r="Z1" s="2" t="inlineStr">
        <is>
          <t>Situação SLA</t>
        </is>
      </c>
      <c r="AA1" s="2" t="inlineStr">
        <is>
          <t>Dias para Vencimento</t>
        </is>
      </c>
      <c r="AB1" s="2" t="inlineStr">
        <is>
          <t>Responsável pela Solução</t>
        </is>
      </c>
      <c r="AC1" s="2" t="inlineStr">
        <is>
          <t>Nº Chamado</t>
        </is>
      </c>
      <c r="AD1" s="2" t="inlineStr">
        <is>
          <t>Última Atualização</t>
        </is>
      </c>
      <c r="AE1" t="inlineStr">
        <is>
          <t>Anexos</t>
        </is>
      </c>
    </row>
    <row r="2" s="18">
      <c r="A2" s="3">
        <f>IF(C2="","",ROW()-1)</f>
        <v/>
      </c>
      <c r="B2" s="4" t="n">
        <v>46268</v>
      </c>
      <c r="C2" s="4" t="n">
        <v>46286</v>
      </c>
      <c r="D2" s="5" t="inlineStr">
        <is>
          <t>MANOELA PERFEITO</t>
        </is>
      </c>
      <c r="E2" s="5" t="inlineStr">
        <is>
          <t>Faturamento</t>
        </is>
      </c>
      <c r="F2" s="5" t="inlineStr">
        <is>
          <t>Estoque</t>
        </is>
      </c>
      <c r="G2" s="5" t="inlineStr">
        <is>
          <t>Matupá</t>
        </is>
      </c>
      <c r="H2" s="5" t="inlineStr">
        <is>
          <t>Estoque</t>
        </is>
      </c>
      <c r="I2" s="5" t="n">
        <v>27673</v>
      </c>
      <c r="J2" s="5" t="n">
        <v>2</v>
      </c>
      <c r="K2" s="5" t="inlineStr">
        <is>
          <t>Nota fiscal emitida em duplicidade com a nf 27674-2</t>
        </is>
      </c>
      <c r="L2" s="5" t="inlineStr">
        <is>
          <t>Erro manual</t>
        </is>
      </c>
      <c r="M2" s="5" t="inlineStr">
        <is>
          <t>Duplicidade fiscal</t>
        </is>
      </c>
      <c r="N2" s="10" t="n">
        <v>47240</v>
      </c>
      <c r="O2" s="21" t="n">
        <v>94302.39999999999</v>
      </c>
      <c r="P2" s="5" t="inlineStr">
        <is>
          <t>Crítica</t>
        </is>
      </c>
      <c r="Q2" s="5" t="inlineStr">
        <is>
          <t>Aguardando Terceiros</t>
        </is>
      </c>
      <c r="R2" s="5" t="inlineStr">
        <is>
          <t>Atendimento manual, é complicado criar uma solução definitiva, foi orientado o sbs faturamento sobre isso, mas infelizmente não anula a possibilidade do erro acontecer.</t>
        </is>
      </c>
      <c r="S2" s="4" t="n">
        <v>46286</v>
      </c>
      <c r="T2" s="4" t="n"/>
      <c r="U2" s="3">
        <f>IF(C2="","",IF(T2="",TODAY()-C2,T2-C2))</f>
        <v/>
      </c>
      <c r="V2" s="5" t="inlineStr">
        <is>
          <t>Sim</t>
        </is>
      </c>
      <c r="W2" s="5" t="n"/>
      <c r="X2" s="3">
        <f>IF(P2="","",IFERROR(VLOOKUP(P2,Parâmetros!$J$2:$K$5,2,FALSE),""))</f>
        <v/>
      </c>
      <c r="Y2" s="4">
        <f>IF(OR(C2="",X2=""),"",C2+X2)</f>
        <v/>
      </c>
      <c r="Z2" s="5">
        <f>IF(C2="","",IF(Q2="Concluído","Concluído",IF(Y2&lt;TODAY(),"Vencido",IF(Y2-TODAY()&lt;=2,"A vencer","No prazo"))))</f>
        <v/>
      </c>
      <c r="AA2" s="3">
        <f>IF(OR(Y2="",Q2="Concluído"),"",Y2-TODAY())</f>
        <v/>
      </c>
      <c r="AB2" s="5" t="inlineStr">
        <is>
          <t>SBS Faturamento</t>
        </is>
      </c>
      <c r="AC2" s="5" t="n">
        <v>17714063</v>
      </c>
      <c r="AD2" s="4" t="n">
        <v>46286</v>
      </c>
    </row>
    <row r="3">
      <c r="A3" s="3">
        <f>IF(C3="","",ROW()-1)</f>
        <v/>
      </c>
      <c r="B3" s="4" t="n">
        <v>46292</v>
      </c>
      <c r="C3" s="4" t="n">
        <v>46293</v>
      </c>
      <c r="D3" s="5" t="inlineStr">
        <is>
          <t>JULIANA MENDES</t>
        </is>
      </c>
      <c r="E3" s="5" t="inlineStr">
        <is>
          <t>Logística</t>
        </is>
      </c>
      <c r="F3" s="5" t="inlineStr">
        <is>
          <t>Comercial</t>
        </is>
      </c>
      <c r="G3" s="5" t="inlineStr">
        <is>
          <t>Paranaguá</t>
        </is>
      </c>
      <c r="H3" s="5" t="inlineStr">
        <is>
          <t>Logística</t>
        </is>
      </c>
      <c r="I3" s="5" t="n">
        <v>45120</v>
      </c>
      <c r="J3" s="6" t="n">
        <v>1</v>
      </c>
      <c r="K3" s="6" t="inlineStr">
        <is>
          <t>Atraso na liberação de frete por falta de CTE assinado</t>
        </is>
      </c>
      <c r="L3" s="6" t="inlineStr">
        <is>
          <t>Instabilidade no portal da transportadora</t>
        </is>
      </c>
      <c r="M3" s="6" t="inlineStr">
        <is>
          <t>Carga retida no porto gerando demurrage</t>
        </is>
      </c>
      <c r="N3" s="5" t="n"/>
      <c r="O3" s="21" t="n">
        <v>78500</v>
      </c>
      <c r="P3" s="5" t="inlineStr">
        <is>
          <t>Alta</t>
        </is>
      </c>
      <c r="Q3" s="5" t="inlineStr">
        <is>
          <t>Em Tratativa</t>
        </is>
      </c>
      <c r="R3" s="6" t="inlineStr">
        <is>
          <t>Emissão de CTE de contingência e liberação emergencial</t>
        </is>
      </c>
      <c r="S3" s="4" t="n">
        <v>46295</v>
      </c>
      <c r="T3" s="4" t="n"/>
      <c r="U3" s="3">
        <f>IF(C3="","",IF(T3="",TODAY()-C3,T3-C3))</f>
        <v/>
      </c>
      <c r="V3" s="5" t="inlineStr">
        <is>
          <t>Sim</t>
        </is>
      </c>
      <c r="W3" s="6" t="inlineStr"/>
      <c r="X3" s="3">
        <f>IF(P3="","",IFERROR(VLOOKUP(P3,Parâmetros!$J$2:$K$5,2,FALSE),""))</f>
        <v/>
      </c>
      <c r="Y3" s="4">
        <f>IF(OR(C3="",X3=""),"",C3+X3)</f>
        <v/>
      </c>
      <c r="Z3" s="5">
        <f>IF(C3="","",IF(Q3="Concluído","Concluído",IF(Y3&lt;TODAY(),"Vencido",IF(Y3-TODAY()&lt;=2,"A vencer","No prazo"))))</f>
        <v/>
      </c>
      <c r="AA3" s="3">
        <f>IF(OR(Y3="",Q3="Concluído"),"",Y3-TODAY())</f>
        <v/>
      </c>
      <c r="AB3" s="5" t="inlineStr">
        <is>
          <t>Equipe de Logística Portuária</t>
        </is>
      </c>
      <c r="AC3" s="5" t="n">
        <v>1882001</v>
      </c>
      <c r="AD3" s="4" t="n">
        <v>46293</v>
      </c>
      <c r="AE3" t="inlineStr">
        <is>
          <t>comprovante_porto.pdf, foto_carga.png</t>
        </is>
      </c>
    </row>
    <row r="4">
      <c r="A4" s="3">
        <f>IF(C4="","",ROW()-1)</f>
        <v/>
      </c>
      <c r="B4" s="4" t="n"/>
      <c r="C4" s="4" t="n"/>
      <c r="D4" s="5" t="n"/>
      <c r="E4" s="5" t="n"/>
      <c r="F4" s="5" t="n"/>
      <c r="G4" s="5" t="n"/>
      <c r="H4" s="5" t="n"/>
      <c r="I4" s="5" t="n"/>
      <c r="J4" s="6" t="n"/>
      <c r="K4" s="6" t="n"/>
      <c r="L4" s="6" t="n"/>
      <c r="M4" s="6" t="n"/>
      <c r="N4" s="5" t="n"/>
      <c r="O4" s="21" t="n"/>
      <c r="P4" s="5" t="n"/>
      <c r="Q4" s="5" t="n"/>
      <c r="R4" s="6" t="n"/>
      <c r="S4" s="4" t="n"/>
      <c r="T4" s="4" t="n"/>
      <c r="U4" s="3">
        <f>IF(C4="","",IF(T4="",TODAY()-C4,T4-C4))</f>
        <v/>
      </c>
      <c r="V4" s="5" t="n"/>
      <c r="W4" s="6" t="n"/>
      <c r="X4" s="3">
        <f>IF(P4="","",IFERROR(VLOOKUP(P4,Parâmetros!$J$2:$K$5,2,FALSE),""))</f>
        <v/>
      </c>
      <c r="Y4" s="4">
        <f>IF(OR(C4="",X4=""),"",C4+X4)</f>
        <v/>
      </c>
      <c r="Z4" s="5">
        <f>IF(C4="","",IF(Q4="Concluído","Concluído",IF(Y4&lt;TODAY(),"Vencido",IF(Y4-TODAY()&lt;=2,"A vencer","No prazo"))))</f>
        <v/>
      </c>
      <c r="AA4" s="3">
        <f>IF(OR(Y4="",Q4="Concluído"),"",Y4-TODAY())</f>
        <v/>
      </c>
      <c r="AB4" s="5" t="n"/>
      <c r="AC4" s="5" t="n"/>
      <c r="AD4" s="4" t="n"/>
    </row>
    <row r="5">
      <c r="A5" s="3">
        <f>IF(C5="","",ROW()-1)</f>
        <v/>
      </c>
      <c r="B5" s="4" t="n"/>
      <c r="C5" s="4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  <c r="M5" s="6" t="n"/>
      <c r="N5" s="5" t="n"/>
      <c r="O5" s="21" t="n"/>
      <c r="P5" s="5" t="n"/>
      <c r="Q5" s="5" t="n"/>
      <c r="R5" s="6" t="n"/>
      <c r="S5" s="4" t="n"/>
      <c r="T5" s="4" t="n"/>
      <c r="U5" s="3">
        <f>IF(C5="","",IF(T5="",TODAY()-C5,T5-C5))</f>
        <v/>
      </c>
      <c r="V5" s="5" t="n"/>
      <c r="W5" s="6" t="n"/>
      <c r="X5" s="3">
        <f>IF(P5="","",IFERROR(VLOOKUP(P5,Parâmetros!$J$2:$K$5,2,FALSE),""))</f>
        <v/>
      </c>
      <c r="Y5" s="4">
        <f>IF(OR(C5="",X5=""),"",C5+X5)</f>
        <v/>
      </c>
      <c r="Z5" s="5">
        <f>IF(C5="","",IF(Q5="Concluído","Concluído",IF(Y5&lt;TODAY(),"Vencido",IF(Y5-TODAY()&lt;=2,"A vencer","No prazo"))))</f>
        <v/>
      </c>
      <c r="AA5" s="3">
        <f>IF(OR(Y5="",Q5="Concluído"),"",Y5-TODAY())</f>
        <v/>
      </c>
      <c r="AB5" s="5" t="n"/>
      <c r="AC5" s="5" t="n"/>
      <c r="AD5" s="4" t="n"/>
    </row>
    <row r="6">
      <c r="A6" s="3">
        <f>IF(C6="","",ROW()-1)</f>
        <v/>
      </c>
      <c r="B6" s="4" t="n"/>
      <c r="C6" s="4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  <c r="M6" s="6" t="n"/>
      <c r="N6" s="5" t="n"/>
      <c r="O6" s="21" t="n"/>
      <c r="P6" s="5" t="n"/>
      <c r="Q6" s="5" t="n"/>
      <c r="R6" s="6" t="n"/>
      <c r="S6" s="4" t="n"/>
      <c r="T6" s="4" t="n"/>
      <c r="U6" s="3">
        <f>IF(C6="","",IF(T6="",TODAY()-C6,T6-C6))</f>
        <v/>
      </c>
      <c r="V6" s="5" t="n"/>
      <c r="W6" s="6" t="n"/>
      <c r="X6" s="3">
        <f>IF(P6="","",IFERROR(VLOOKUP(P6,Parâmetros!$J$2:$K$5,2,FALSE),""))</f>
        <v/>
      </c>
      <c r="Y6" s="4">
        <f>IF(OR(C6="",X6=""),"",C6+X6)</f>
        <v/>
      </c>
      <c r="Z6" s="5">
        <f>IF(C6="","",IF(Q6="Concluído","Concluído",IF(Y6&lt;TODAY(),"Vencido",IF(Y6-TODAY()&lt;=2,"A vencer","No prazo"))))</f>
        <v/>
      </c>
      <c r="AA6" s="3">
        <f>IF(OR(Y6="",Q6="Concluído"),"",Y6-TODAY())</f>
        <v/>
      </c>
      <c r="AB6" s="5" t="n"/>
      <c r="AC6" s="5" t="n"/>
      <c r="AD6" s="4" t="n"/>
    </row>
    <row r="7">
      <c r="A7" s="3">
        <f>IF(C7="","",ROW()-1)</f>
        <v/>
      </c>
      <c r="B7" s="4" t="n"/>
      <c r="C7" s="4" t="n"/>
      <c r="D7" s="5" t="n"/>
      <c r="E7" s="5" t="n"/>
      <c r="F7" s="5" t="n"/>
      <c r="G7" s="5" t="n"/>
      <c r="H7" s="5" t="n"/>
      <c r="I7" s="5" t="n"/>
      <c r="J7" s="6" t="n"/>
      <c r="K7" s="6" t="n"/>
      <c r="L7" s="6" t="n"/>
      <c r="M7" s="6" t="n"/>
      <c r="N7" s="5" t="n"/>
      <c r="O7" s="21" t="n"/>
      <c r="P7" s="5" t="n"/>
      <c r="Q7" s="5" t="n"/>
      <c r="R7" s="6" t="n"/>
      <c r="S7" s="4" t="n"/>
      <c r="T7" s="4" t="n"/>
      <c r="U7" s="3">
        <f>IF(C7="","",IF(T7="",TODAY()-C7,T7-C7))</f>
        <v/>
      </c>
      <c r="V7" s="5" t="n"/>
      <c r="W7" s="6" t="n"/>
      <c r="X7" s="3">
        <f>IF(P7="","",IFERROR(VLOOKUP(P7,Parâmetros!$J$2:$K$5,2,FALSE),""))</f>
        <v/>
      </c>
      <c r="Y7" s="4">
        <f>IF(OR(C7="",X7=""),"",C7+X7)</f>
        <v/>
      </c>
      <c r="Z7" s="5">
        <f>IF(C7="","",IF(Q7="Concluído","Concluído",IF(Y7&lt;TODAY(),"Vencido",IF(Y7-TODAY()&lt;=2,"A vencer","No prazo"))))</f>
        <v/>
      </c>
      <c r="AA7" s="3">
        <f>IF(OR(Y7="",Q7="Concluído"),"",Y7-TODAY())</f>
        <v/>
      </c>
      <c r="AB7" s="5" t="n"/>
      <c r="AC7" s="5" t="n"/>
      <c r="AD7" s="4" t="n"/>
    </row>
    <row r="8">
      <c r="A8" s="3">
        <f>IF(C8="","",ROW()-1)</f>
        <v/>
      </c>
      <c r="B8" s="4" t="n"/>
      <c r="C8" s="4" t="n"/>
      <c r="D8" s="5" t="n"/>
      <c r="E8" s="5" t="n"/>
      <c r="F8" s="5" t="n"/>
      <c r="G8" s="5" t="n"/>
      <c r="H8" s="5" t="n"/>
      <c r="I8" s="5" t="n"/>
      <c r="J8" s="6" t="n"/>
      <c r="K8" s="6" t="n"/>
      <c r="L8" s="6" t="n"/>
      <c r="M8" s="6" t="n"/>
      <c r="N8" s="5" t="n"/>
      <c r="O8" s="21" t="n"/>
      <c r="P8" s="5" t="n"/>
      <c r="Q8" s="5" t="n"/>
      <c r="R8" s="6" t="n"/>
      <c r="S8" s="4" t="n"/>
      <c r="T8" s="4" t="n"/>
      <c r="U8" s="3">
        <f>IF(C8="","",IF(T8="",TODAY()-C8,T8-C8))</f>
        <v/>
      </c>
      <c r="V8" s="5" t="n"/>
      <c r="W8" s="6" t="n"/>
      <c r="X8" s="3">
        <f>IF(P8="","",IFERROR(VLOOKUP(P8,Parâmetros!$J$2:$K$5,2,FALSE),""))</f>
        <v/>
      </c>
      <c r="Y8" s="4">
        <f>IF(OR(C8="",X8=""),"",C8+X8)</f>
        <v/>
      </c>
      <c r="Z8" s="5">
        <f>IF(C8="","",IF(Q8="Concluído","Concluído",IF(Y8&lt;TODAY(),"Vencido",IF(Y8-TODAY()&lt;=2,"A vencer","No prazo"))))</f>
        <v/>
      </c>
      <c r="AA8" s="3">
        <f>IF(OR(Y8="",Q8="Concluído"),"",Y8-TODAY())</f>
        <v/>
      </c>
      <c r="AB8" s="5" t="n"/>
      <c r="AC8" s="5" t="n"/>
      <c r="AD8" s="4" t="n"/>
    </row>
    <row r="9">
      <c r="A9" s="3">
        <f>IF(C9="","",ROW()-1)</f>
        <v/>
      </c>
      <c r="B9" s="4" t="n"/>
      <c r="C9" s="4" t="n"/>
      <c r="D9" s="5" t="n"/>
      <c r="E9" s="5" t="n"/>
      <c r="F9" s="5" t="n"/>
      <c r="G9" s="5" t="n"/>
      <c r="H9" s="5" t="n"/>
      <c r="I9" s="5" t="n"/>
      <c r="J9" s="6" t="n"/>
      <c r="K9" s="6" t="n"/>
      <c r="L9" s="6" t="n"/>
      <c r="M9" s="6" t="n"/>
      <c r="N9" s="5" t="n"/>
      <c r="O9" s="21" t="n"/>
      <c r="P9" s="5" t="n"/>
      <c r="Q9" s="5" t="n"/>
      <c r="R9" s="6" t="n"/>
      <c r="S9" s="4" t="n"/>
      <c r="T9" s="4" t="n"/>
      <c r="U9" s="3">
        <f>IF(C9="","",IF(T9="",TODAY()-C9,T9-C9))</f>
        <v/>
      </c>
      <c r="V9" s="5" t="n"/>
      <c r="W9" s="6" t="n"/>
      <c r="X9" s="3">
        <f>IF(P9="","",IFERROR(VLOOKUP(P9,Parâmetros!$J$2:$K$5,2,FALSE),""))</f>
        <v/>
      </c>
      <c r="Y9" s="4">
        <f>IF(OR(C9="",X9=""),"",C9+X9)</f>
        <v/>
      </c>
      <c r="Z9" s="5">
        <f>IF(C9="","",IF(Q9="Concluído","Concluído",IF(Y9&lt;TODAY(),"Vencido",IF(Y9-TODAY()&lt;=2,"A vencer","No prazo"))))</f>
        <v/>
      </c>
      <c r="AA9" s="3">
        <f>IF(OR(Y9="",Q9="Concluído"),"",Y9-TODAY())</f>
        <v/>
      </c>
      <c r="AB9" s="5" t="n"/>
      <c r="AC9" s="5" t="n"/>
      <c r="AD9" s="4" t="n"/>
    </row>
    <row r="10">
      <c r="A10" s="3">
        <f>IF(C10="","",ROW()-1)</f>
        <v/>
      </c>
      <c r="B10" s="4" t="n"/>
      <c r="C10" s="4" t="n"/>
      <c r="D10" s="5" t="n"/>
      <c r="E10" s="5" t="n"/>
      <c r="F10" s="5" t="n"/>
      <c r="G10" s="5" t="n"/>
      <c r="H10" s="5" t="n"/>
      <c r="I10" s="5" t="n"/>
      <c r="J10" s="6" t="n"/>
      <c r="K10" s="6" t="n"/>
      <c r="L10" s="6" t="n"/>
      <c r="M10" s="6" t="n"/>
      <c r="N10" s="5" t="n"/>
      <c r="O10" s="21" t="n"/>
      <c r="P10" s="5" t="n"/>
      <c r="Q10" s="5" t="n"/>
      <c r="R10" s="6" t="n"/>
      <c r="S10" s="4" t="n"/>
      <c r="T10" s="4" t="n"/>
      <c r="U10" s="3">
        <f>IF(C10="","",IF(T10="",TODAY()-C10,T10-C10))</f>
        <v/>
      </c>
      <c r="V10" s="5" t="n"/>
      <c r="W10" s="6" t="n"/>
      <c r="X10" s="3">
        <f>IF(P10="","",IFERROR(VLOOKUP(P10,Parâmetros!$J$2:$K$5,2,FALSE),""))</f>
        <v/>
      </c>
      <c r="Y10" s="4">
        <f>IF(OR(C10="",X10=""),"",C10+X10)</f>
        <v/>
      </c>
      <c r="Z10" s="5">
        <f>IF(C10="","",IF(Q10="Concluído","Concluído",IF(Y10&lt;TODAY(),"Vencido",IF(Y10-TODAY()&lt;=2,"A vencer","No prazo"))))</f>
        <v/>
      </c>
      <c r="AA10" s="3">
        <f>IF(OR(Y10="",Q10="Concluído"),"",Y10-TODAY())</f>
        <v/>
      </c>
      <c r="AB10" s="5" t="n"/>
      <c r="AC10" s="5" t="n"/>
      <c r="AD10" s="4" t="n"/>
    </row>
    <row r="11">
      <c r="A11" s="3">
        <f>IF(C11="","",ROW()-1)</f>
        <v/>
      </c>
      <c r="B11" s="4" t="n"/>
      <c r="C11" s="4" t="n"/>
      <c r="D11" s="5" t="n"/>
      <c r="E11" s="5" t="n"/>
      <c r="F11" s="5" t="n"/>
      <c r="G11" s="5" t="n"/>
      <c r="H11" s="5" t="n"/>
      <c r="I11" s="5" t="n"/>
      <c r="J11" s="6" t="n"/>
      <c r="K11" s="6" t="n"/>
      <c r="L11" s="6" t="n"/>
      <c r="M11" s="6" t="n"/>
      <c r="N11" s="5" t="n"/>
      <c r="O11" s="21" t="n"/>
      <c r="P11" s="5" t="n"/>
      <c r="Q11" s="5" t="n"/>
      <c r="R11" s="6" t="n"/>
      <c r="S11" s="4" t="n"/>
      <c r="T11" s="4" t="n"/>
      <c r="U11" s="3">
        <f>IF(C11="","",IF(T11="",TODAY()-C11,T11-C11))</f>
        <v/>
      </c>
      <c r="V11" s="5" t="n"/>
      <c r="W11" s="6" t="n"/>
      <c r="X11" s="3">
        <f>IF(P11="","",IFERROR(VLOOKUP(P11,Parâmetros!$J$2:$K$5,2,FALSE),""))</f>
        <v/>
      </c>
      <c r="Y11" s="4">
        <f>IF(OR(C11="",X11=""),"",C11+X11)</f>
        <v/>
      </c>
      <c r="Z11" s="5">
        <f>IF(C11="","",IF(Q11="Concluído","Concluído",IF(Y11&lt;TODAY(),"Vencido",IF(Y11-TODAY()&lt;=2,"A vencer","No prazo"))))</f>
        <v/>
      </c>
      <c r="AA11" s="3">
        <f>IF(OR(Y11="",Q11="Concluído"),"",Y11-TODAY())</f>
        <v/>
      </c>
      <c r="AB11" s="5" t="n"/>
      <c r="AC11" s="5" t="n"/>
      <c r="AD11" s="4" t="n"/>
    </row>
    <row r="12">
      <c r="A12" s="3">
        <f>IF(C12="","",ROW()-1)</f>
        <v/>
      </c>
      <c r="B12" s="4" t="n"/>
      <c r="C12" s="4" t="n"/>
      <c r="D12" s="5" t="n"/>
      <c r="E12" s="5" t="n"/>
      <c r="F12" s="5" t="n"/>
      <c r="G12" s="5" t="n"/>
      <c r="H12" s="5" t="n"/>
      <c r="I12" s="5" t="n"/>
      <c r="J12" s="6" t="n"/>
      <c r="K12" s="6" t="n"/>
      <c r="L12" s="6" t="n"/>
      <c r="M12" s="6" t="n"/>
      <c r="N12" s="5" t="n"/>
      <c r="O12" s="21" t="n"/>
      <c r="P12" s="5" t="n"/>
      <c r="Q12" s="5" t="n"/>
      <c r="R12" s="6" t="n"/>
      <c r="S12" s="4" t="n"/>
      <c r="T12" s="4" t="n"/>
      <c r="U12" s="3">
        <f>IF(C12="","",IF(T12="",TODAY()-C12,T12-C12))</f>
        <v/>
      </c>
      <c r="V12" s="5" t="n"/>
      <c r="W12" s="6" t="n"/>
      <c r="X12" s="3">
        <f>IF(P12="","",IFERROR(VLOOKUP(P12,Parâmetros!$J$2:$K$5,2,FALSE),""))</f>
        <v/>
      </c>
      <c r="Y12" s="4">
        <f>IF(OR(C12="",X12=""),"",C12+X12)</f>
        <v/>
      </c>
      <c r="Z12" s="5">
        <f>IF(C12="","",IF(Q12="Concluído","Concluído",IF(Y12&lt;TODAY(),"Vencido",IF(Y12-TODAY()&lt;=2,"A vencer","No prazo"))))</f>
        <v/>
      </c>
      <c r="AA12" s="3">
        <f>IF(OR(Y12="",Q12="Concluído"),"",Y12-TODAY())</f>
        <v/>
      </c>
      <c r="AB12" s="5" t="n"/>
      <c r="AC12" s="5" t="n"/>
      <c r="AD12" s="4" t="n"/>
    </row>
    <row r="13">
      <c r="A13" s="3">
        <f>IF(C13="","",ROW()-1)</f>
        <v/>
      </c>
      <c r="B13" s="4" t="n"/>
      <c r="C13" s="4" t="n"/>
      <c r="D13" s="5" t="n"/>
      <c r="E13" s="5" t="n"/>
      <c r="F13" s="5" t="n"/>
      <c r="G13" s="5" t="n"/>
      <c r="H13" s="5" t="n"/>
      <c r="I13" s="5" t="n"/>
      <c r="J13" s="6" t="n"/>
      <c r="K13" s="6" t="n"/>
      <c r="L13" s="6" t="n"/>
      <c r="M13" s="6" t="n"/>
      <c r="N13" s="5" t="n"/>
      <c r="O13" s="21" t="n"/>
      <c r="P13" s="5" t="n"/>
      <c r="Q13" s="5" t="n"/>
      <c r="R13" s="6" t="n"/>
      <c r="S13" s="4" t="n"/>
      <c r="T13" s="4" t="n"/>
      <c r="U13" s="3">
        <f>IF(C13="","",IF(T13="",TODAY()-C13,T13-C13))</f>
        <v/>
      </c>
      <c r="V13" s="5" t="n"/>
      <c r="W13" s="6" t="n"/>
      <c r="X13" s="3">
        <f>IF(P13="","",IFERROR(VLOOKUP(P13,Parâmetros!$J$2:$K$5,2,FALSE),""))</f>
        <v/>
      </c>
      <c r="Y13" s="4">
        <f>IF(OR(C13="",X13=""),"",C13+X13)</f>
        <v/>
      </c>
      <c r="Z13" s="5">
        <f>IF(C13="","",IF(Q13="Concluído","Concluído",IF(Y13&lt;TODAY(),"Vencido",IF(Y13-TODAY()&lt;=2,"A vencer","No prazo"))))</f>
        <v/>
      </c>
      <c r="AA13" s="3">
        <f>IF(OR(Y13="",Q13="Concluído"),"",Y13-TODAY())</f>
        <v/>
      </c>
      <c r="AB13" s="5" t="n"/>
      <c r="AC13" s="5" t="n"/>
      <c r="AD13" s="4" t="n"/>
    </row>
    <row r="14">
      <c r="A14" s="3">
        <f>IF(C14="","",ROW()-1)</f>
        <v/>
      </c>
      <c r="B14" s="4" t="n"/>
      <c r="C14" s="4" t="n"/>
      <c r="D14" s="5" t="n"/>
      <c r="E14" s="5" t="n"/>
      <c r="F14" s="5" t="n"/>
      <c r="G14" s="5" t="n"/>
      <c r="H14" s="5" t="n"/>
      <c r="I14" s="5" t="n"/>
      <c r="J14" s="6" t="n"/>
      <c r="K14" s="6" t="n"/>
      <c r="L14" s="6" t="n"/>
      <c r="M14" s="6" t="n"/>
      <c r="N14" s="5" t="n"/>
      <c r="O14" s="21" t="n"/>
      <c r="P14" s="5" t="n"/>
      <c r="Q14" s="5" t="n"/>
      <c r="R14" s="6" t="n"/>
      <c r="S14" s="4" t="n"/>
      <c r="T14" s="4" t="n"/>
      <c r="U14" s="3">
        <f>IF(C14="","",IF(T14="",TODAY()-C14,T14-C14))</f>
        <v/>
      </c>
      <c r="V14" s="5" t="n"/>
      <c r="W14" s="6" t="n"/>
      <c r="X14" s="3">
        <f>IF(P14="","",IFERROR(VLOOKUP(P14,Parâmetros!$J$2:$K$5,2,FALSE),""))</f>
        <v/>
      </c>
      <c r="Y14" s="4">
        <f>IF(OR(C14="",X14=""),"",C14+X14)</f>
        <v/>
      </c>
      <c r="Z14" s="5">
        <f>IF(C14="","",IF(Q14="Concluído","Concluído",IF(Y14&lt;TODAY(),"Vencido",IF(Y14-TODAY()&lt;=2,"A vencer","No prazo"))))</f>
        <v/>
      </c>
      <c r="AA14" s="3">
        <f>IF(OR(Y14="",Q14="Concluído"),"",Y14-TODAY())</f>
        <v/>
      </c>
      <c r="AB14" s="5" t="n"/>
      <c r="AC14" s="5" t="n"/>
      <c r="AD14" s="4" t="n"/>
    </row>
    <row r="15">
      <c r="A15" s="3">
        <f>IF(C15="","",ROW()-1)</f>
        <v/>
      </c>
      <c r="B15" s="4" t="n"/>
      <c r="C15" s="4" t="n"/>
      <c r="D15" s="5" t="n"/>
      <c r="E15" s="5" t="n"/>
      <c r="F15" s="5" t="n"/>
      <c r="G15" s="5" t="n"/>
      <c r="H15" s="5" t="n"/>
      <c r="I15" s="5" t="n"/>
      <c r="J15" s="6" t="n"/>
      <c r="K15" s="6" t="n"/>
      <c r="L15" s="6" t="n"/>
      <c r="M15" s="6" t="n"/>
      <c r="N15" s="5" t="n"/>
      <c r="O15" s="21" t="n"/>
      <c r="P15" s="5" t="n"/>
      <c r="Q15" s="5" t="n"/>
      <c r="R15" s="6" t="n"/>
      <c r="S15" s="4" t="n"/>
      <c r="T15" s="4" t="n"/>
      <c r="U15" s="3">
        <f>IF(C15="","",IF(T15="",TODAY()-C15,T15-C15))</f>
        <v/>
      </c>
      <c r="V15" s="5" t="n"/>
      <c r="W15" s="6" t="n"/>
      <c r="X15" s="3">
        <f>IF(P15="","",IFERROR(VLOOKUP(P15,Parâmetros!$J$2:$K$5,2,FALSE),""))</f>
        <v/>
      </c>
      <c r="Y15" s="4">
        <f>IF(OR(C15="",X15=""),"",C15+X15)</f>
        <v/>
      </c>
      <c r="Z15" s="5">
        <f>IF(C15="","",IF(Q15="Concluído","Concluído",IF(Y15&lt;TODAY(),"Vencido",IF(Y15-TODAY()&lt;=2,"A vencer","No prazo"))))</f>
        <v/>
      </c>
      <c r="AA15" s="3">
        <f>IF(OR(Y15="",Q15="Concluído"),"",Y15-TODAY())</f>
        <v/>
      </c>
      <c r="AB15" s="5" t="n"/>
      <c r="AC15" s="5" t="n"/>
      <c r="AD15" s="4" t="n"/>
    </row>
    <row r="16">
      <c r="A16" s="3">
        <f>IF(C16="","",ROW()-1)</f>
        <v/>
      </c>
      <c r="B16" s="4" t="n"/>
      <c r="C16" s="4" t="n"/>
      <c r="D16" s="5" t="n"/>
      <c r="E16" s="5" t="n"/>
      <c r="F16" s="5" t="n"/>
      <c r="G16" s="5" t="n"/>
      <c r="H16" s="5" t="n"/>
      <c r="I16" s="5" t="n"/>
      <c r="J16" s="6" t="n"/>
      <c r="K16" s="6" t="n"/>
      <c r="L16" s="6" t="n"/>
      <c r="M16" s="6" t="n"/>
      <c r="N16" s="5" t="n"/>
      <c r="O16" s="21" t="n"/>
      <c r="P16" s="5" t="n"/>
      <c r="Q16" s="5" t="n"/>
      <c r="R16" s="6" t="n"/>
      <c r="S16" s="4" t="n"/>
      <c r="T16" s="4" t="n"/>
      <c r="U16" s="3">
        <f>IF(C16="","",IF(T16="",TODAY()-C16,T16-C16))</f>
        <v/>
      </c>
      <c r="V16" s="5" t="n"/>
      <c r="W16" s="6" t="n"/>
      <c r="X16" s="3">
        <f>IF(P16="","",IFERROR(VLOOKUP(P16,Parâmetros!$J$2:$K$5,2,FALSE),""))</f>
        <v/>
      </c>
      <c r="Y16" s="4">
        <f>IF(OR(C16="",X16=""),"",C16+X16)</f>
        <v/>
      </c>
      <c r="Z16" s="5">
        <f>IF(C16="","",IF(Q16="Concluído","Concluído",IF(Y16&lt;TODAY(),"Vencido",IF(Y16-TODAY()&lt;=2,"A vencer","No prazo"))))</f>
        <v/>
      </c>
      <c r="AA16" s="3">
        <f>IF(OR(Y16="",Q16="Concluído"),"",Y16-TODAY())</f>
        <v/>
      </c>
      <c r="AB16" s="5" t="n"/>
      <c r="AC16" s="5" t="n"/>
      <c r="AD16" s="4" t="n"/>
    </row>
    <row r="17">
      <c r="A17" s="3">
        <f>IF(C17="","",ROW()-1)</f>
        <v/>
      </c>
      <c r="B17" s="4" t="n"/>
      <c r="C17" s="4" t="n"/>
      <c r="D17" s="5" t="n"/>
      <c r="E17" s="5" t="n"/>
      <c r="F17" s="5" t="n"/>
      <c r="G17" s="5" t="n"/>
      <c r="H17" s="5" t="n"/>
      <c r="I17" s="5" t="n"/>
      <c r="J17" s="6" t="n"/>
      <c r="K17" s="6" t="n"/>
      <c r="L17" s="6" t="n"/>
      <c r="M17" s="6" t="n"/>
      <c r="N17" s="5" t="n"/>
      <c r="O17" s="21" t="n"/>
      <c r="P17" s="5" t="n"/>
      <c r="Q17" s="5" t="n"/>
      <c r="R17" s="6" t="n"/>
      <c r="S17" s="4" t="n"/>
      <c r="T17" s="4" t="n"/>
      <c r="U17" s="3">
        <f>IF(C17="","",IF(T17="",TODAY()-C17,T17-C17))</f>
        <v/>
      </c>
      <c r="V17" s="5" t="n"/>
      <c r="W17" s="6" t="n"/>
      <c r="X17" s="3">
        <f>IF(P17="","",IFERROR(VLOOKUP(P17,Parâmetros!$J$2:$K$5,2,FALSE),""))</f>
        <v/>
      </c>
      <c r="Y17" s="4">
        <f>IF(OR(C17="",X17=""),"",C17+X17)</f>
        <v/>
      </c>
      <c r="Z17" s="5">
        <f>IF(C17="","",IF(Q17="Concluído","Concluído",IF(Y17&lt;TODAY(),"Vencido",IF(Y17-TODAY()&lt;=2,"A vencer","No prazo"))))</f>
        <v/>
      </c>
      <c r="AA17" s="3">
        <f>IF(OR(Y17="",Q17="Concluído"),"",Y17-TODAY())</f>
        <v/>
      </c>
      <c r="AB17" s="5" t="n"/>
      <c r="AC17" s="5" t="n"/>
      <c r="AD17" s="4" t="n"/>
    </row>
    <row r="18">
      <c r="A18" s="3">
        <f>IF(C18="","",ROW()-1)</f>
        <v/>
      </c>
      <c r="B18" s="4" t="n"/>
      <c r="C18" s="4" t="n"/>
      <c r="D18" s="5" t="n"/>
      <c r="E18" s="5" t="n"/>
      <c r="F18" s="5" t="n"/>
      <c r="G18" s="5" t="n"/>
      <c r="H18" s="5" t="n"/>
      <c r="I18" s="5" t="n"/>
      <c r="J18" s="6" t="n"/>
      <c r="K18" s="6" t="n"/>
      <c r="L18" s="6" t="n"/>
      <c r="M18" s="6" t="n"/>
      <c r="N18" s="5" t="n"/>
      <c r="O18" s="21" t="n"/>
      <c r="P18" s="5" t="n"/>
      <c r="Q18" s="5" t="n"/>
      <c r="R18" s="6" t="n"/>
      <c r="S18" s="4" t="n"/>
      <c r="T18" s="4" t="n"/>
      <c r="U18" s="3">
        <f>IF(C18="","",IF(T18="",TODAY()-C18,T18-C18))</f>
        <v/>
      </c>
      <c r="V18" s="5" t="n"/>
      <c r="W18" s="6" t="n"/>
      <c r="X18" s="3">
        <f>IF(P18="","",IFERROR(VLOOKUP(P18,Parâmetros!$J$2:$K$5,2,FALSE),""))</f>
        <v/>
      </c>
      <c r="Y18" s="4">
        <f>IF(OR(C18="",X18=""),"",C18+X18)</f>
        <v/>
      </c>
      <c r="Z18" s="5">
        <f>IF(C18="","",IF(Q18="Concluído","Concluído",IF(Y18&lt;TODAY(),"Vencido",IF(Y18-TODAY()&lt;=2,"A vencer","No prazo"))))</f>
        <v/>
      </c>
      <c r="AA18" s="3">
        <f>IF(OR(Y18="",Q18="Concluído"),"",Y18-TODAY())</f>
        <v/>
      </c>
      <c r="AB18" s="5" t="n"/>
      <c r="AC18" s="5" t="n"/>
      <c r="AD18" s="4" t="n"/>
    </row>
    <row r="19">
      <c r="A19" s="3">
        <f>IF(C19="","",ROW()-1)</f>
        <v/>
      </c>
      <c r="B19" s="4" t="n"/>
      <c r="C19" s="4" t="n"/>
      <c r="D19" s="5" t="n"/>
      <c r="E19" s="5" t="n"/>
      <c r="F19" s="5" t="n"/>
      <c r="G19" s="5" t="n"/>
      <c r="H19" s="5" t="n"/>
      <c r="I19" s="5" t="n"/>
      <c r="J19" s="6" t="n"/>
      <c r="K19" s="6" t="n"/>
      <c r="L19" s="6" t="n"/>
      <c r="M19" s="6" t="n"/>
      <c r="N19" s="5" t="n"/>
      <c r="O19" s="21" t="n"/>
      <c r="P19" s="5" t="n"/>
      <c r="Q19" s="5" t="n"/>
      <c r="R19" s="6" t="n"/>
      <c r="S19" s="4" t="n"/>
      <c r="T19" s="4" t="n"/>
      <c r="U19" s="3">
        <f>IF(C19="","",IF(T19="",TODAY()-C19,T19-C19))</f>
        <v/>
      </c>
      <c r="V19" s="5" t="n"/>
      <c r="W19" s="6" t="n"/>
      <c r="X19" s="3">
        <f>IF(P19="","",IFERROR(VLOOKUP(P19,Parâmetros!$J$2:$K$5,2,FALSE),""))</f>
        <v/>
      </c>
      <c r="Y19" s="4">
        <f>IF(OR(C19="",X19=""),"",C19+X19)</f>
        <v/>
      </c>
      <c r="Z19" s="5">
        <f>IF(C19="","",IF(Q19="Concluído","Concluído",IF(Y19&lt;TODAY(),"Vencido",IF(Y19-TODAY()&lt;=2,"A vencer","No prazo"))))</f>
        <v/>
      </c>
      <c r="AA19" s="3">
        <f>IF(OR(Y19="",Q19="Concluído"),"",Y19-TODAY())</f>
        <v/>
      </c>
      <c r="AB19" s="5" t="n"/>
      <c r="AC19" s="5" t="n"/>
      <c r="AD19" s="4" t="n"/>
    </row>
    <row r="20">
      <c r="A20" s="3">
        <f>IF(C20="","",ROW()-1)</f>
        <v/>
      </c>
      <c r="B20" s="4" t="n"/>
      <c r="C20" s="4" t="n"/>
      <c r="D20" s="5" t="n"/>
      <c r="E20" s="5" t="n"/>
      <c r="F20" s="5" t="n"/>
      <c r="G20" s="5" t="n"/>
      <c r="H20" s="5" t="n"/>
      <c r="I20" s="5" t="n"/>
      <c r="J20" s="6" t="n"/>
      <c r="K20" s="6" t="n"/>
      <c r="L20" s="6" t="n"/>
      <c r="M20" s="6" t="n"/>
      <c r="N20" s="5" t="n"/>
      <c r="O20" s="21" t="n"/>
      <c r="P20" s="5" t="n"/>
      <c r="Q20" s="5" t="n"/>
      <c r="R20" s="6" t="n"/>
      <c r="S20" s="4" t="n"/>
      <c r="T20" s="4" t="n"/>
      <c r="U20" s="3">
        <f>IF(C20="","",IF(T20="",TODAY()-C20,T20-C20))</f>
        <v/>
      </c>
      <c r="V20" s="5" t="n"/>
      <c r="W20" s="6" t="n"/>
      <c r="X20" s="3">
        <f>IF(P20="","",IFERROR(VLOOKUP(P20,Parâmetros!$J$2:$K$5,2,FALSE),""))</f>
        <v/>
      </c>
      <c r="Y20" s="4">
        <f>IF(OR(C20="",X20=""),"",C20+X20)</f>
        <v/>
      </c>
      <c r="Z20" s="5">
        <f>IF(C20="","",IF(Q20="Concluído","Concluído",IF(Y20&lt;TODAY(),"Vencido",IF(Y20-TODAY()&lt;=2,"A vencer","No prazo"))))</f>
        <v/>
      </c>
      <c r="AA20" s="3">
        <f>IF(OR(Y20="",Q20="Concluído"),"",Y20-TODAY())</f>
        <v/>
      </c>
      <c r="AB20" s="5" t="n"/>
      <c r="AC20" s="5" t="n"/>
      <c r="AD20" s="4" t="n"/>
    </row>
    <row r="21">
      <c r="A21" s="3">
        <f>IF(C21="","",ROW()-1)</f>
        <v/>
      </c>
      <c r="B21" s="4" t="n"/>
      <c r="C21" s="4" t="n"/>
      <c r="D21" s="5" t="n"/>
      <c r="E21" s="5" t="n"/>
      <c r="F21" s="5" t="n"/>
      <c r="G21" s="5" t="n"/>
      <c r="H21" s="5" t="n"/>
      <c r="I21" s="5" t="n"/>
      <c r="J21" s="6" t="n"/>
      <c r="K21" s="6" t="n"/>
      <c r="L21" s="6" t="n"/>
      <c r="M21" s="6" t="n"/>
      <c r="N21" s="5" t="n"/>
      <c r="O21" s="21" t="n"/>
      <c r="P21" s="5" t="n"/>
      <c r="Q21" s="5" t="n"/>
      <c r="R21" s="6" t="n"/>
      <c r="S21" s="4" t="n"/>
      <c r="T21" s="4" t="n"/>
      <c r="U21" s="3">
        <f>IF(C21="","",IF(T21="",TODAY()-C21,T21-C21))</f>
        <v/>
      </c>
      <c r="V21" s="5" t="n"/>
      <c r="W21" s="6" t="n"/>
      <c r="X21" s="3">
        <f>IF(P21="","",IFERROR(VLOOKUP(P21,Parâmetros!$J$2:$K$5,2,FALSE),""))</f>
        <v/>
      </c>
      <c r="Y21" s="4">
        <f>IF(OR(C21="",X21=""),"",C21+X21)</f>
        <v/>
      </c>
      <c r="Z21" s="5">
        <f>IF(C21="","",IF(Q21="Concluído","Concluído",IF(Y21&lt;TODAY(),"Vencido",IF(Y21-TODAY()&lt;=2,"A vencer","No prazo"))))</f>
        <v/>
      </c>
      <c r="AA21" s="3">
        <f>IF(OR(Y21="",Q21="Concluído"),"",Y21-TODAY())</f>
        <v/>
      </c>
      <c r="AB21" s="5" t="n"/>
      <c r="AC21" s="5" t="n"/>
      <c r="AD21" s="4" t="n"/>
    </row>
    <row r="22">
      <c r="A22" s="3">
        <f>IF(C22="","",ROW()-1)</f>
        <v/>
      </c>
      <c r="B22" s="4" t="n"/>
      <c r="C22" s="4" t="n"/>
      <c r="D22" s="5" t="n"/>
      <c r="E22" s="5" t="n"/>
      <c r="F22" s="5" t="n"/>
      <c r="G22" s="5" t="n"/>
      <c r="H22" s="5" t="n"/>
      <c r="I22" s="5" t="n"/>
      <c r="J22" s="6" t="n"/>
      <c r="K22" s="6" t="n"/>
      <c r="L22" s="6" t="n"/>
      <c r="M22" s="6" t="n"/>
      <c r="N22" s="5" t="n"/>
      <c r="O22" s="21" t="n"/>
      <c r="P22" s="5" t="n"/>
      <c r="Q22" s="5" t="n"/>
      <c r="R22" s="6" t="n"/>
      <c r="S22" s="4" t="n"/>
      <c r="T22" s="4" t="n"/>
      <c r="U22" s="3">
        <f>IF(C22="","",IF(T22="",TODAY()-C22,T22-C22))</f>
        <v/>
      </c>
      <c r="V22" s="5" t="n"/>
      <c r="W22" s="6" t="n"/>
      <c r="X22" s="3">
        <f>IF(P22="","",IFERROR(VLOOKUP(P22,Parâmetros!$J$2:$K$5,2,FALSE),""))</f>
        <v/>
      </c>
      <c r="Y22" s="4">
        <f>IF(OR(C22="",X22=""),"",C22+X22)</f>
        <v/>
      </c>
      <c r="Z22" s="5">
        <f>IF(C22="","",IF(Q22="Concluído","Concluído",IF(Y22&lt;TODAY(),"Vencido",IF(Y22-TODAY()&lt;=2,"A vencer","No prazo"))))</f>
        <v/>
      </c>
      <c r="AA22" s="3">
        <f>IF(OR(Y22="",Q22="Concluído"),"",Y22-TODAY())</f>
        <v/>
      </c>
      <c r="AB22" s="5" t="n"/>
      <c r="AC22" s="5" t="n"/>
      <c r="AD22" s="4" t="n"/>
    </row>
    <row r="23">
      <c r="A23" s="3">
        <f>IF(C23="","",ROW()-1)</f>
        <v/>
      </c>
      <c r="B23" s="4" t="n"/>
      <c r="C23" s="4" t="n"/>
      <c r="D23" s="5" t="n"/>
      <c r="E23" s="5" t="n"/>
      <c r="F23" s="5" t="n"/>
      <c r="G23" s="5" t="n"/>
      <c r="H23" s="5" t="n"/>
      <c r="I23" s="5" t="n"/>
      <c r="J23" s="6" t="n"/>
      <c r="K23" s="6" t="n"/>
      <c r="L23" s="6" t="n"/>
      <c r="M23" s="6" t="n"/>
      <c r="N23" s="5" t="n"/>
      <c r="O23" s="21" t="n"/>
      <c r="P23" s="5" t="n"/>
      <c r="Q23" s="5" t="n"/>
      <c r="R23" s="6" t="n"/>
      <c r="S23" s="4" t="n"/>
      <c r="T23" s="4" t="n"/>
      <c r="U23" s="3">
        <f>IF(C23="","",IF(T23="",TODAY()-C23,T23-C23))</f>
        <v/>
      </c>
      <c r="V23" s="5" t="n"/>
      <c r="W23" s="6" t="n"/>
      <c r="X23" s="3">
        <f>IF(P23="","",IFERROR(VLOOKUP(P23,Parâmetros!$J$2:$K$5,2,FALSE),""))</f>
        <v/>
      </c>
      <c r="Y23" s="4">
        <f>IF(OR(C23="",X23=""),"",C23+X23)</f>
        <v/>
      </c>
      <c r="Z23" s="5">
        <f>IF(C23="","",IF(Q23="Concluído","Concluído",IF(Y23&lt;TODAY(),"Vencido",IF(Y23-TODAY()&lt;=2,"A vencer","No prazo"))))</f>
        <v/>
      </c>
      <c r="AA23" s="3">
        <f>IF(OR(Y23="",Q23="Concluído"),"",Y23-TODAY())</f>
        <v/>
      </c>
      <c r="AB23" s="5" t="n"/>
      <c r="AC23" s="5" t="n"/>
      <c r="AD23" s="4" t="n"/>
    </row>
    <row r="24">
      <c r="A24" s="3">
        <f>IF(C24="","",ROW()-1)</f>
        <v/>
      </c>
      <c r="B24" s="4" t="n"/>
      <c r="C24" s="4" t="n"/>
      <c r="D24" s="5" t="n"/>
      <c r="E24" s="5" t="n"/>
      <c r="F24" s="5" t="n"/>
      <c r="G24" s="5" t="n"/>
      <c r="H24" s="5" t="n"/>
      <c r="I24" s="5" t="n"/>
      <c r="J24" s="6" t="n"/>
      <c r="K24" s="6" t="n"/>
      <c r="L24" s="6" t="n"/>
      <c r="M24" s="6" t="n"/>
      <c r="N24" s="5" t="n"/>
      <c r="O24" s="21" t="n"/>
      <c r="P24" s="5" t="n"/>
      <c r="Q24" s="5" t="n"/>
      <c r="R24" s="6" t="n"/>
      <c r="S24" s="4" t="n"/>
      <c r="T24" s="4" t="n"/>
      <c r="U24" s="3">
        <f>IF(C24="","",IF(T24="",TODAY()-C24,T24-C24))</f>
        <v/>
      </c>
      <c r="V24" s="5" t="n"/>
      <c r="W24" s="6" t="n"/>
      <c r="X24" s="3">
        <f>IF(P24="","",IFERROR(VLOOKUP(P24,Parâmetros!$J$2:$K$5,2,FALSE),""))</f>
        <v/>
      </c>
      <c r="Y24" s="4">
        <f>IF(OR(C24="",X24=""),"",C24+X24)</f>
        <v/>
      </c>
      <c r="Z24" s="5">
        <f>IF(C24="","",IF(Q24="Concluído","Concluído",IF(Y24&lt;TODAY(),"Vencido",IF(Y24-TODAY()&lt;=2,"A vencer","No prazo"))))</f>
        <v/>
      </c>
      <c r="AA24" s="3">
        <f>IF(OR(Y24="",Q24="Concluído"),"",Y24-TODAY())</f>
        <v/>
      </c>
      <c r="AB24" s="5" t="n"/>
      <c r="AC24" s="5" t="n"/>
      <c r="AD24" s="4" t="n"/>
    </row>
    <row r="25">
      <c r="A25" s="3">
        <f>IF(C25="","",ROW()-1)</f>
        <v/>
      </c>
      <c r="B25" s="4" t="n"/>
      <c r="C25" s="4" t="n"/>
      <c r="D25" s="5" t="n"/>
      <c r="E25" s="5" t="n"/>
      <c r="F25" s="5" t="n"/>
      <c r="G25" s="5" t="n"/>
      <c r="H25" s="5" t="n"/>
      <c r="I25" s="5" t="n"/>
      <c r="J25" s="6" t="n"/>
      <c r="K25" s="6" t="n"/>
      <c r="L25" s="6" t="n"/>
      <c r="M25" s="6" t="n"/>
      <c r="N25" s="5" t="n"/>
      <c r="O25" s="21" t="n"/>
      <c r="P25" s="5" t="n"/>
      <c r="Q25" s="5" t="n"/>
      <c r="R25" s="6" t="n"/>
      <c r="S25" s="4" t="n"/>
      <c r="T25" s="4" t="n"/>
      <c r="U25" s="3">
        <f>IF(C25="","",IF(T25="",TODAY()-C25,T25-C25))</f>
        <v/>
      </c>
      <c r="V25" s="5" t="n"/>
      <c r="W25" s="6" t="n"/>
      <c r="X25" s="3">
        <f>IF(P25="","",IFERROR(VLOOKUP(P25,Parâmetros!$J$2:$K$5,2,FALSE),""))</f>
        <v/>
      </c>
      <c r="Y25" s="4">
        <f>IF(OR(C25="",X25=""),"",C25+X25)</f>
        <v/>
      </c>
      <c r="Z25" s="5">
        <f>IF(C25="","",IF(Q25="Concluído","Concluído",IF(Y25&lt;TODAY(),"Vencido",IF(Y25-TODAY()&lt;=2,"A vencer","No prazo"))))</f>
        <v/>
      </c>
      <c r="AA25" s="3">
        <f>IF(OR(Y25="",Q25="Concluído"),"",Y25-TODAY())</f>
        <v/>
      </c>
      <c r="AB25" s="5" t="n"/>
      <c r="AC25" s="5" t="n"/>
      <c r="AD25" s="4" t="n"/>
    </row>
    <row r="26">
      <c r="A26" s="3">
        <f>IF(C26="","",ROW()-1)</f>
        <v/>
      </c>
      <c r="B26" s="4" t="n"/>
      <c r="C26" s="4" t="n"/>
      <c r="D26" s="5" t="n"/>
      <c r="E26" s="5" t="n"/>
      <c r="F26" s="5" t="n"/>
      <c r="G26" s="5" t="n"/>
      <c r="H26" s="5" t="n"/>
      <c r="I26" s="5" t="n"/>
      <c r="J26" s="6" t="n"/>
      <c r="K26" s="6" t="n"/>
      <c r="L26" s="6" t="n"/>
      <c r="M26" s="6" t="n"/>
      <c r="N26" s="5" t="n"/>
      <c r="O26" s="21" t="n"/>
      <c r="P26" s="5" t="n"/>
      <c r="Q26" s="5" t="n"/>
      <c r="R26" s="6" t="n"/>
      <c r="S26" s="4" t="n"/>
      <c r="T26" s="4" t="n"/>
      <c r="U26" s="3">
        <f>IF(C26="","",IF(T26="",TODAY()-C26,T26-C26))</f>
        <v/>
      </c>
      <c r="V26" s="5" t="n"/>
      <c r="W26" s="6" t="n"/>
      <c r="X26" s="3">
        <f>IF(P26="","",IFERROR(VLOOKUP(P26,Parâmetros!$J$2:$K$5,2,FALSE),""))</f>
        <v/>
      </c>
      <c r="Y26" s="4">
        <f>IF(OR(C26="",X26=""),"",C26+X26)</f>
        <v/>
      </c>
      <c r="Z26" s="5">
        <f>IF(C26="","",IF(Q26="Concluído","Concluído",IF(Y26&lt;TODAY(),"Vencido",IF(Y26-TODAY()&lt;=2,"A vencer","No prazo"))))</f>
        <v/>
      </c>
      <c r="AA26" s="3">
        <f>IF(OR(Y26="",Q26="Concluído"),"",Y26-TODAY())</f>
        <v/>
      </c>
      <c r="AB26" s="5" t="n"/>
      <c r="AC26" s="5" t="n"/>
      <c r="AD26" s="4" t="n"/>
    </row>
    <row r="27">
      <c r="A27" s="3">
        <f>IF(C27="","",ROW()-1)</f>
        <v/>
      </c>
      <c r="B27" s="4" t="n"/>
      <c r="C27" s="4" t="n"/>
      <c r="D27" s="5" t="n"/>
      <c r="E27" s="5" t="n"/>
      <c r="F27" s="5" t="n"/>
      <c r="G27" s="5" t="n"/>
      <c r="H27" s="5" t="n"/>
      <c r="I27" s="5" t="n"/>
      <c r="J27" s="6" t="n"/>
      <c r="K27" s="6" t="n"/>
      <c r="L27" s="6" t="n"/>
      <c r="M27" s="6" t="n"/>
      <c r="N27" s="5" t="n"/>
      <c r="O27" s="21" t="n"/>
      <c r="P27" s="5" t="n"/>
      <c r="Q27" s="5" t="n"/>
      <c r="R27" s="6" t="n"/>
      <c r="S27" s="4" t="n"/>
      <c r="T27" s="4" t="n"/>
      <c r="U27" s="3">
        <f>IF(C27="","",IF(T27="",TODAY()-C27,T27-C27))</f>
        <v/>
      </c>
      <c r="V27" s="5" t="n"/>
      <c r="W27" s="6" t="n"/>
      <c r="X27" s="3">
        <f>IF(P27="","",IFERROR(VLOOKUP(P27,Parâmetros!$J$2:$K$5,2,FALSE),""))</f>
        <v/>
      </c>
      <c r="Y27" s="4">
        <f>IF(OR(C27="",X27=""),"",C27+X27)</f>
        <v/>
      </c>
      <c r="Z27" s="5">
        <f>IF(C27="","",IF(Q27="Concluído","Concluído",IF(Y27&lt;TODAY(),"Vencido",IF(Y27-TODAY()&lt;=2,"A vencer","No prazo"))))</f>
        <v/>
      </c>
      <c r="AA27" s="3">
        <f>IF(OR(Y27="",Q27="Concluído"),"",Y27-TODAY())</f>
        <v/>
      </c>
      <c r="AB27" s="5" t="n"/>
      <c r="AC27" s="5" t="n"/>
      <c r="AD27" s="4" t="n"/>
    </row>
    <row r="28">
      <c r="A28" s="3">
        <f>IF(C28="","",ROW()-1)</f>
        <v/>
      </c>
      <c r="B28" s="4" t="n"/>
      <c r="C28" s="4" t="n"/>
      <c r="D28" s="5" t="n"/>
      <c r="E28" s="5" t="n"/>
      <c r="F28" s="5" t="n"/>
      <c r="G28" s="5" t="n"/>
      <c r="H28" s="5" t="n"/>
      <c r="I28" s="5" t="n"/>
      <c r="J28" s="6" t="n"/>
      <c r="K28" s="6" t="n"/>
      <c r="L28" s="6" t="n"/>
      <c r="M28" s="6" t="n"/>
      <c r="N28" s="5" t="n"/>
      <c r="O28" s="21" t="n"/>
      <c r="P28" s="5" t="n"/>
      <c r="Q28" s="5" t="n"/>
      <c r="R28" s="6" t="n"/>
      <c r="S28" s="4" t="n"/>
      <c r="T28" s="4" t="n"/>
      <c r="U28" s="3">
        <f>IF(C28="","",IF(T28="",TODAY()-C28,T28-C28))</f>
        <v/>
      </c>
      <c r="V28" s="5" t="n"/>
      <c r="W28" s="6" t="n"/>
      <c r="X28" s="3">
        <f>IF(P28="","",IFERROR(VLOOKUP(P28,Parâmetros!$J$2:$K$5,2,FALSE),""))</f>
        <v/>
      </c>
      <c r="Y28" s="4">
        <f>IF(OR(C28="",X28=""),"",C28+X28)</f>
        <v/>
      </c>
      <c r="Z28" s="5">
        <f>IF(C28="","",IF(Q28="Concluído","Concluído",IF(Y28&lt;TODAY(),"Vencido",IF(Y28-TODAY()&lt;=2,"A vencer","No prazo"))))</f>
        <v/>
      </c>
      <c r="AA28" s="3">
        <f>IF(OR(Y28="",Q28="Concluído"),"",Y28-TODAY())</f>
        <v/>
      </c>
      <c r="AB28" s="5" t="n"/>
      <c r="AC28" s="5" t="n"/>
      <c r="AD28" s="4" t="n"/>
    </row>
    <row r="29">
      <c r="A29" s="3">
        <f>IF(C29="","",ROW()-1)</f>
        <v/>
      </c>
      <c r="B29" s="4" t="n"/>
      <c r="C29" s="4" t="n"/>
      <c r="D29" s="5" t="n"/>
      <c r="E29" s="5" t="n"/>
      <c r="F29" s="5" t="n"/>
      <c r="G29" s="5" t="n"/>
      <c r="H29" s="5" t="n"/>
      <c r="I29" s="5" t="n"/>
      <c r="J29" s="6" t="n"/>
      <c r="K29" s="6" t="n"/>
      <c r="L29" s="6" t="n"/>
      <c r="M29" s="6" t="n"/>
      <c r="N29" s="5" t="n"/>
      <c r="O29" s="21" t="n"/>
      <c r="P29" s="5" t="n"/>
      <c r="Q29" s="5" t="n"/>
      <c r="R29" s="6" t="n"/>
      <c r="S29" s="4" t="n"/>
      <c r="T29" s="4" t="n"/>
      <c r="U29" s="3">
        <f>IF(C29="","",IF(T29="",TODAY()-C29,T29-C29))</f>
        <v/>
      </c>
      <c r="V29" s="5" t="n"/>
      <c r="W29" s="6" t="n"/>
      <c r="X29" s="3">
        <f>IF(P29="","",IFERROR(VLOOKUP(P29,Parâmetros!$J$2:$K$5,2,FALSE),""))</f>
        <v/>
      </c>
      <c r="Y29" s="4">
        <f>IF(OR(C29="",X29=""),"",C29+X29)</f>
        <v/>
      </c>
      <c r="Z29" s="5">
        <f>IF(C29="","",IF(Q29="Concluído","Concluído",IF(Y29&lt;TODAY(),"Vencido",IF(Y29-TODAY()&lt;=2,"A vencer","No prazo"))))</f>
        <v/>
      </c>
      <c r="AA29" s="3">
        <f>IF(OR(Y29="",Q29="Concluído"),"",Y29-TODAY())</f>
        <v/>
      </c>
      <c r="AB29" s="5" t="n"/>
      <c r="AC29" s="5" t="n"/>
      <c r="AD29" s="4" t="n"/>
    </row>
    <row r="30">
      <c r="A30" s="3">
        <f>IF(C30="","",ROW()-1)</f>
        <v/>
      </c>
      <c r="B30" s="4" t="n"/>
      <c r="C30" s="4" t="n"/>
      <c r="D30" s="5" t="n"/>
      <c r="E30" s="5" t="n"/>
      <c r="F30" s="5" t="n"/>
      <c r="G30" s="5" t="n"/>
      <c r="H30" s="5" t="n"/>
      <c r="I30" s="5" t="n"/>
      <c r="J30" s="6" t="n"/>
      <c r="K30" s="6" t="n"/>
      <c r="L30" s="6" t="n"/>
      <c r="M30" s="6" t="n"/>
      <c r="N30" s="5" t="n"/>
      <c r="O30" s="21" t="n"/>
      <c r="P30" s="5" t="n"/>
      <c r="Q30" s="5" t="n"/>
      <c r="R30" s="6" t="n"/>
      <c r="S30" s="4" t="n"/>
      <c r="T30" s="4" t="n"/>
      <c r="U30" s="3">
        <f>IF(C30="","",IF(T30="",TODAY()-C30,T30-C30))</f>
        <v/>
      </c>
      <c r="V30" s="5" t="n"/>
      <c r="W30" s="6" t="n"/>
      <c r="X30" s="3">
        <f>IF(P30="","",IFERROR(VLOOKUP(P30,Parâmetros!$J$2:$K$5,2,FALSE),""))</f>
        <v/>
      </c>
      <c r="Y30" s="4">
        <f>IF(OR(C30="",X30=""),"",C30+X30)</f>
        <v/>
      </c>
      <c r="Z30" s="5">
        <f>IF(C30="","",IF(Q30="Concluído","Concluído",IF(Y30&lt;TODAY(),"Vencido",IF(Y30-TODAY()&lt;=2,"A vencer","No prazo"))))</f>
        <v/>
      </c>
      <c r="AA30" s="3">
        <f>IF(OR(Y30="",Q30="Concluído"),"",Y30-TODAY())</f>
        <v/>
      </c>
      <c r="AB30" s="5" t="n"/>
      <c r="AC30" s="5" t="n"/>
      <c r="AD30" s="4" t="n"/>
    </row>
    <row r="31">
      <c r="A31" s="3">
        <f>IF(C31="","",ROW()-1)</f>
        <v/>
      </c>
      <c r="B31" s="4" t="n"/>
      <c r="C31" s="4" t="n"/>
      <c r="D31" s="5" t="n"/>
      <c r="E31" s="5" t="n"/>
      <c r="F31" s="5" t="n"/>
      <c r="G31" s="5" t="n"/>
      <c r="H31" s="5" t="n"/>
      <c r="I31" s="5" t="n"/>
      <c r="J31" s="6" t="n"/>
      <c r="K31" s="6" t="n"/>
      <c r="L31" s="6" t="n"/>
      <c r="M31" s="6" t="n"/>
      <c r="N31" s="5" t="n"/>
      <c r="O31" s="21" t="n"/>
      <c r="P31" s="5" t="n"/>
      <c r="Q31" s="5" t="n"/>
      <c r="R31" s="6" t="n"/>
      <c r="S31" s="4" t="n"/>
      <c r="T31" s="4" t="n"/>
      <c r="U31" s="3">
        <f>IF(C31="","",IF(T31="",TODAY()-C31,T31-C31))</f>
        <v/>
      </c>
      <c r="V31" s="5" t="n"/>
      <c r="W31" s="6" t="n"/>
      <c r="X31" s="3">
        <f>IF(P31="","",IFERROR(VLOOKUP(P31,Parâmetros!$J$2:$K$5,2,FALSE),""))</f>
        <v/>
      </c>
      <c r="Y31" s="4">
        <f>IF(OR(C31="",X31=""),"",C31+X31)</f>
        <v/>
      </c>
      <c r="Z31" s="5">
        <f>IF(C31="","",IF(Q31="Concluído","Concluído",IF(Y31&lt;TODAY(),"Vencido",IF(Y31-TODAY()&lt;=2,"A vencer","No prazo"))))</f>
        <v/>
      </c>
      <c r="AA31" s="3">
        <f>IF(OR(Y31="",Q31="Concluído"),"",Y31-TODAY())</f>
        <v/>
      </c>
      <c r="AB31" s="5" t="n"/>
      <c r="AC31" s="5" t="n"/>
      <c r="AD31" s="4" t="n"/>
    </row>
    <row r="32">
      <c r="A32" s="3">
        <f>IF(C32="","",ROW()-1)</f>
        <v/>
      </c>
      <c r="B32" s="4" t="n"/>
      <c r="C32" s="4" t="n"/>
      <c r="D32" s="5" t="n"/>
      <c r="E32" s="5" t="n"/>
      <c r="F32" s="5" t="n"/>
      <c r="G32" s="5" t="n"/>
      <c r="H32" s="5" t="n"/>
      <c r="I32" s="5" t="n"/>
      <c r="J32" s="6" t="n"/>
      <c r="K32" s="6" t="n"/>
      <c r="L32" s="6" t="n"/>
      <c r="M32" s="6" t="n"/>
      <c r="N32" s="5" t="n"/>
      <c r="O32" s="21" t="n"/>
      <c r="P32" s="5" t="n"/>
      <c r="Q32" s="5" t="n"/>
      <c r="R32" s="6" t="n"/>
      <c r="S32" s="4" t="n"/>
      <c r="T32" s="4" t="n"/>
      <c r="U32" s="3">
        <f>IF(C32="","",IF(T32="",TODAY()-C32,T32-C32))</f>
        <v/>
      </c>
      <c r="V32" s="5" t="n"/>
      <c r="W32" s="6" t="n"/>
      <c r="X32" s="3">
        <f>IF(P32="","",IFERROR(VLOOKUP(P32,Parâmetros!$J$2:$K$5,2,FALSE),""))</f>
        <v/>
      </c>
      <c r="Y32" s="4">
        <f>IF(OR(C32="",X32=""),"",C32+X32)</f>
        <v/>
      </c>
      <c r="Z32" s="5">
        <f>IF(C32="","",IF(Q32="Concluído","Concluído",IF(Y32&lt;TODAY(),"Vencido",IF(Y32-TODAY()&lt;=2,"A vencer","No prazo"))))</f>
        <v/>
      </c>
      <c r="AA32" s="3">
        <f>IF(OR(Y32="",Q32="Concluído"),"",Y32-TODAY())</f>
        <v/>
      </c>
      <c r="AB32" s="5" t="n"/>
      <c r="AC32" s="5" t="n"/>
      <c r="AD32" s="4" t="n"/>
    </row>
    <row r="33">
      <c r="A33" s="3">
        <f>IF(C33="","",ROW()-1)</f>
        <v/>
      </c>
      <c r="B33" s="4" t="n"/>
      <c r="C33" s="4" t="n"/>
      <c r="D33" s="5" t="n"/>
      <c r="E33" s="5" t="n"/>
      <c r="F33" s="5" t="n"/>
      <c r="G33" s="5" t="n"/>
      <c r="H33" s="5" t="n"/>
      <c r="I33" s="5" t="n"/>
      <c r="J33" s="5" t="n"/>
      <c r="K33" s="6" t="n"/>
      <c r="L33" s="6" t="n"/>
      <c r="M33" s="6" t="n"/>
      <c r="N33" s="5" t="n"/>
      <c r="O33" s="21" t="n"/>
      <c r="P33" s="5" t="n"/>
      <c r="Q33" s="5" t="n"/>
      <c r="R33" s="6" t="n"/>
      <c r="S33" s="4" t="n"/>
      <c r="T33" s="4" t="n"/>
      <c r="U33" s="3">
        <f>IF(C33="","",IF(T33="",TODAY()-C33,T33-C33))</f>
        <v/>
      </c>
      <c r="V33" s="5" t="n"/>
      <c r="W33" s="6" t="n"/>
      <c r="X33" s="3">
        <f>IF(P33="","",IFERROR(VLOOKUP(P33,Parâmetros!$J$2:$K$5,2,FALSE),""))</f>
        <v/>
      </c>
      <c r="Y33" s="4">
        <f>IF(OR(C33="",X33=""),"",C33+X33)</f>
        <v/>
      </c>
      <c r="Z33" s="5">
        <f>IF(C33="","",IF(Q33="Concluído","Concluído",IF(Y33&lt;TODAY(),"Vencido",IF(Y33-TODAY()&lt;=2,"A vencer","No prazo"))))</f>
        <v/>
      </c>
      <c r="AA33" s="3">
        <f>IF(OR(Y33="",Q33="Concluído"),"",Y33-TODAY())</f>
        <v/>
      </c>
      <c r="AB33" s="5" t="n"/>
      <c r="AC33" s="5" t="n"/>
      <c r="AD33" s="4" t="n"/>
    </row>
    <row r="34">
      <c r="A34" s="3">
        <f>IF(C34="","",ROW()-1)</f>
        <v/>
      </c>
      <c r="B34" s="4" t="n"/>
      <c r="C34" s="4" t="n"/>
      <c r="D34" s="5" t="n"/>
      <c r="E34" s="5" t="n"/>
      <c r="F34" s="5" t="n"/>
      <c r="G34" s="5" t="n"/>
      <c r="H34" s="5" t="n"/>
      <c r="I34" s="5" t="n"/>
      <c r="J34" s="5" t="n"/>
      <c r="K34" s="6" t="n"/>
      <c r="L34" s="6" t="n"/>
      <c r="M34" s="6" t="n"/>
      <c r="N34" s="5" t="n"/>
      <c r="O34" s="21" t="n"/>
      <c r="P34" s="5" t="n"/>
      <c r="Q34" s="5" t="n"/>
      <c r="R34" s="6" t="n"/>
      <c r="S34" s="4" t="n"/>
      <c r="T34" s="4" t="n"/>
      <c r="U34" s="3">
        <f>IF(C34="","",IF(T34="",TODAY()-C34,T34-C34))</f>
        <v/>
      </c>
      <c r="V34" s="5" t="n"/>
      <c r="W34" s="6" t="n"/>
      <c r="X34" s="3">
        <f>IF(P34="","",IFERROR(VLOOKUP(P34,Parâmetros!$J$2:$K$5,2,FALSE),""))</f>
        <v/>
      </c>
      <c r="Y34" s="4">
        <f>IF(OR(C34="",X34=""),"",C34+X34)</f>
        <v/>
      </c>
      <c r="Z34" s="5">
        <f>IF(C34="","",IF(Q34="Concluído","Concluído",IF(Y34&lt;TODAY(),"Vencido",IF(Y34-TODAY()&lt;=2,"A vencer","No prazo"))))</f>
        <v/>
      </c>
      <c r="AA34" s="3">
        <f>IF(OR(Y34="",Q34="Concluído"),"",Y34-TODAY())</f>
        <v/>
      </c>
      <c r="AB34" s="5" t="n"/>
      <c r="AC34" s="5" t="n"/>
      <c r="AD34" s="4" t="n"/>
    </row>
    <row r="35">
      <c r="A35" s="3">
        <f>IF(C35="","",ROW()-1)</f>
        <v/>
      </c>
      <c r="B35" s="4" t="n"/>
      <c r="C35" s="4" t="n"/>
      <c r="D35" s="5" t="n"/>
      <c r="E35" s="5" t="n"/>
      <c r="F35" s="5" t="n"/>
      <c r="G35" s="5" t="n"/>
      <c r="H35" s="5" t="n"/>
      <c r="I35" s="5" t="n"/>
      <c r="J35" s="5" t="n"/>
      <c r="K35" s="6" t="n"/>
      <c r="L35" s="6" t="n"/>
      <c r="M35" s="6" t="n"/>
      <c r="N35" s="5" t="n"/>
      <c r="O35" s="21" t="n"/>
      <c r="P35" s="5" t="n"/>
      <c r="Q35" s="5" t="n"/>
      <c r="R35" s="6" t="n"/>
      <c r="S35" s="4" t="n"/>
      <c r="T35" s="4" t="n"/>
      <c r="U35" s="3">
        <f>IF(C35="","",IF(T35="",TODAY()-C35,T35-C35))</f>
        <v/>
      </c>
      <c r="V35" s="5" t="n"/>
      <c r="W35" s="6" t="n"/>
      <c r="X35" s="3">
        <f>IF(P35="","",IFERROR(VLOOKUP(P35,Parâmetros!$J$2:$K$5,2,FALSE),""))</f>
        <v/>
      </c>
      <c r="Y35" s="4">
        <f>IF(OR(C35="",X35=""),"",C35+X35)</f>
        <v/>
      </c>
      <c r="Z35" s="5">
        <f>IF(C35="","",IF(Q35="Concluído","Concluído",IF(Y35&lt;TODAY(),"Vencido",IF(Y35-TODAY()&lt;=2,"A vencer","No prazo"))))</f>
        <v/>
      </c>
      <c r="AA35" s="3">
        <f>IF(OR(Y35="",Q35="Concluído"),"",Y35-TODAY())</f>
        <v/>
      </c>
      <c r="AB35" s="5" t="n"/>
      <c r="AC35" s="5" t="n"/>
      <c r="AD35" s="4" t="n"/>
    </row>
    <row r="36">
      <c r="A36" s="3">
        <f>IF(C36="","",ROW()-1)</f>
        <v/>
      </c>
      <c r="B36" s="4" t="n"/>
      <c r="C36" s="4" t="n"/>
      <c r="D36" s="5" t="n"/>
      <c r="E36" s="5" t="n"/>
      <c r="F36" s="5" t="n"/>
      <c r="G36" s="5" t="n"/>
      <c r="H36" s="5" t="n"/>
      <c r="I36" s="5" t="n"/>
      <c r="J36" s="5" t="n"/>
      <c r="K36" s="6" t="n"/>
      <c r="L36" s="6" t="n"/>
      <c r="M36" s="6" t="n"/>
      <c r="N36" s="5" t="n"/>
      <c r="O36" s="21" t="n"/>
      <c r="P36" s="5" t="n"/>
      <c r="Q36" s="5" t="n"/>
      <c r="R36" s="6" t="n"/>
      <c r="S36" s="4" t="n"/>
      <c r="T36" s="4" t="n"/>
      <c r="U36" s="3">
        <f>IF(C36="","",IF(T36="",TODAY()-C36,T36-C36))</f>
        <v/>
      </c>
      <c r="V36" s="5" t="n"/>
      <c r="W36" s="6" t="n"/>
      <c r="X36" s="3">
        <f>IF(P36="","",IFERROR(VLOOKUP(P36,Parâmetros!$J$2:$K$5,2,FALSE),""))</f>
        <v/>
      </c>
      <c r="Y36" s="4">
        <f>IF(OR(C36="",X36=""),"",C36+X36)</f>
        <v/>
      </c>
      <c r="Z36" s="5">
        <f>IF(C36="","",IF(Q36="Concluído","Concluído",IF(Y36&lt;TODAY(),"Vencido",IF(Y36-TODAY()&lt;=2,"A vencer","No prazo"))))</f>
        <v/>
      </c>
      <c r="AA36" s="3">
        <f>IF(OR(Y36="",Q36="Concluído"),"",Y36-TODAY())</f>
        <v/>
      </c>
      <c r="AB36" s="5" t="n"/>
      <c r="AC36" s="5" t="n"/>
      <c r="AD36" s="4" t="n"/>
    </row>
    <row r="37">
      <c r="A37" s="3">
        <f>IF(C37="","",ROW()-1)</f>
        <v/>
      </c>
      <c r="B37" s="4" t="n"/>
      <c r="C37" s="4" t="n"/>
      <c r="D37" s="5" t="n"/>
      <c r="E37" s="5" t="n"/>
      <c r="F37" s="5" t="n"/>
      <c r="G37" s="5" t="n"/>
      <c r="H37" s="5" t="n"/>
      <c r="I37" s="5" t="n"/>
      <c r="J37" s="5" t="n"/>
      <c r="K37" s="6" t="n"/>
      <c r="L37" s="6" t="n"/>
      <c r="M37" s="6" t="n"/>
      <c r="N37" s="5" t="n"/>
      <c r="O37" s="21" t="n"/>
      <c r="P37" s="5" t="n"/>
      <c r="Q37" s="5" t="n"/>
      <c r="R37" s="6" t="n"/>
      <c r="S37" s="4" t="n"/>
      <c r="T37" s="4" t="n"/>
      <c r="U37" s="3">
        <f>IF(C37="","",IF(T37="",TODAY()-C37,T37-C37))</f>
        <v/>
      </c>
      <c r="V37" s="5" t="n"/>
      <c r="W37" s="6" t="n"/>
      <c r="X37" s="3">
        <f>IF(P37="","",IFERROR(VLOOKUP(P37,Parâmetros!$J$2:$K$5,2,FALSE),""))</f>
        <v/>
      </c>
      <c r="Y37" s="4">
        <f>IF(OR(C37="",X37=""),"",C37+X37)</f>
        <v/>
      </c>
      <c r="Z37" s="5">
        <f>IF(C37="","",IF(Q37="Concluído","Concluído",IF(Y37&lt;TODAY(),"Vencido",IF(Y37-TODAY()&lt;=2,"A vencer","No prazo"))))</f>
        <v/>
      </c>
      <c r="AA37" s="3">
        <f>IF(OR(Y37="",Q37="Concluído"),"",Y37-TODAY())</f>
        <v/>
      </c>
      <c r="AB37" s="5" t="n"/>
      <c r="AC37" s="5" t="n"/>
      <c r="AD37" s="4" t="n"/>
    </row>
    <row r="38">
      <c r="A38" s="3">
        <f>IF(C38="","",ROW()-1)</f>
        <v/>
      </c>
      <c r="B38" s="4" t="n"/>
      <c r="C38" s="4" t="n"/>
      <c r="D38" s="5" t="n"/>
      <c r="E38" s="5" t="n"/>
      <c r="F38" s="5" t="n"/>
      <c r="G38" s="5" t="n"/>
      <c r="H38" s="5" t="n"/>
      <c r="I38" s="5" t="n"/>
      <c r="J38" s="5" t="n"/>
      <c r="K38" s="6" t="n"/>
      <c r="L38" s="6" t="n"/>
      <c r="M38" s="6" t="n"/>
      <c r="N38" s="5" t="n"/>
      <c r="O38" s="21" t="n"/>
      <c r="P38" s="5" t="n"/>
      <c r="Q38" s="5" t="n"/>
      <c r="R38" s="6" t="n"/>
      <c r="S38" s="4" t="n"/>
      <c r="T38" s="4" t="n"/>
      <c r="U38" s="3">
        <f>IF(C38="","",IF(T38="",TODAY()-C38,T38-C38))</f>
        <v/>
      </c>
      <c r="V38" s="5" t="n"/>
      <c r="W38" s="6" t="n"/>
      <c r="X38" s="3">
        <f>IF(P38="","",IFERROR(VLOOKUP(P38,Parâmetros!$J$2:$K$5,2,FALSE),""))</f>
        <v/>
      </c>
      <c r="Y38" s="4">
        <f>IF(OR(C38="",X38=""),"",C38+X38)</f>
        <v/>
      </c>
      <c r="Z38" s="5">
        <f>IF(C38="","",IF(Q38="Concluído","Concluído",IF(Y38&lt;TODAY(),"Vencido",IF(Y38-TODAY()&lt;=2,"A vencer","No prazo"))))</f>
        <v/>
      </c>
      <c r="AA38" s="3">
        <f>IF(OR(Y38="",Q38="Concluído"),"",Y38-TODAY())</f>
        <v/>
      </c>
      <c r="AB38" s="5" t="n"/>
      <c r="AC38" s="5" t="n"/>
      <c r="AD38" s="4" t="n"/>
    </row>
    <row r="39">
      <c r="A39" s="3">
        <f>IF(C39="","",ROW()-1)</f>
        <v/>
      </c>
      <c r="B39" s="4" t="n"/>
      <c r="C39" s="4" t="n"/>
      <c r="D39" s="5" t="n"/>
      <c r="E39" s="5" t="n"/>
      <c r="F39" s="5" t="n"/>
      <c r="G39" s="5" t="n"/>
      <c r="H39" s="5" t="n"/>
      <c r="I39" s="5" t="n"/>
      <c r="J39" s="5" t="n"/>
      <c r="K39" s="6" t="n"/>
      <c r="L39" s="6" t="n"/>
      <c r="M39" s="6" t="n"/>
      <c r="N39" s="5" t="n"/>
      <c r="O39" s="21" t="n"/>
      <c r="P39" s="5" t="n"/>
      <c r="Q39" s="5" t="n"/>
      <c r="R39" s="6" t="n"/>
      <c r="S39" s="4" t="n"/>
      <c r="T39" s="4" t="n"/>
      <c r="U39" s="3">
        <f>IF(C39="","",IF(T39="",TODAY()-C39,T39-C39))</f>
        <v/>
      </c>
      <c r="V39" s="5" t="n"/>
      <c r="W39" s="6" t="n"/>
      <c r="X39" s="3">
        <f>IF(P39="","",IFERROR(VLOOKUP(P39,Parâmetros!$J$2:$K$5,2,FALSE),""))</f>
        <v/>
      </c>
      <c r="Y39" s="4">
        <f>IF(OR(C39="",X39=""),"",C39+X39)</f>
        <v/>
      </c>
      <c r="Z39" s="5">
        <f>IF(C39="","",IF(Q39="Concluído","Concluído",IF(Y39&lt;TODAY(),"Vencido",IF(Y39-TODAY()&lt;=2,"A vencer","No prazo"))))</f>
        <v/>
      </c>
      <c r="AA39" s="3">
        <f>IF(OR(Y39="",Q39="Concluído"),"",Y39-TODAY())</f>
        <v/>
      </c>
      <c r="AB39" s="5" t="n"/>
      <c r="AC39" s="5" t="n"/>
      <c r="AD39" s="4" t="n"/>
    </row>
    <row r="40">
      <c r="A40" s="3">
        <f>IF(C40="","",ROW()-1)</f>
        <v/>
      </c>
      <c r="B40" s="4" t="n"/>
      <c r="C40" s="4" t="n"/>
      <c r="D40" s="5" t="n"/>
      <c r="E40" s="5" t="n"/>
      <c r="F40" s="5" t="n"/>
      <c r="G40" s="5" t="n"/>
      <c r="H40" s="5" t="n"/>
      <c r="I40" s="5" t="n"/>
      <c r="J40" s="5" t="n"/>
      <c r="K40" s="6" t="n"/>
      <c r="L40" s="6" t="n"/>
      <c r="M40" s="6" t="n"/>
      <c r="N40" s="5" t="n"/>
      <c r="O40" s="21" t="n"/>
      <c r="P40" s="5" t="n"/>
      <c r="Q40" s="5" t="n"/>
      <c r="R40" s="6" t="n"/>
      <c r="S40" s="4" t="n"/>
      <c r="T40" s="4" t="n"/>
      <c r="U40" s="3">
        <f>IF(C40="","",IF(T40="",TODAY()-C40,T40-C40))</f>
        <v/>
      </c>
      <c r="V40" s="5" t="n"/>
      <c r="W40" s="6" t="n"/>
      <c r="X40" s="3">
        <f>IF(P40="","",IFERROR(VLOOKUP(P40,Parâmetros!$J$2:$K$5,2,FALSE),""))</f>
        <v/>
      </c>
      <c r="Y40" s="4">
        <f>IF(OR(C40="",X40=""),"",C40+X40)</f>
        <v/>
      </c>
      <c r="Z40" s="5">
        <f>IF(C40="","",IF(Q40="Concluído","Concluído",IF(Y40&lt;TODAY(),"Vencido",IF(Y40-TODAY()&lt;=2,"A vencer","No prazo"))))</f>
        <v/>
      </c>
      <c r="AA40" s="3">
        <f>IF(OR(Y40="",Q40="Concluído"),"",Y40-TODAY())</f>
        <v/>
      </c>
      <c r="AB40" s="5" t="n"/>
      <c r="AC40" s="5" t="n"/>
      <c r="AD40" s="4" t="n"/>
    </row>
    <row r="41">
      <c r="A41" s="3">
        <f>IF(C41="","",ROW()-1)</f>
        <v/>
      </c>
      <c r="B41" s="4" t="n"/>
      <c r="C41" s="4" t="n"/>
      <c r="D41" s="5" t="n"/>
      <c r="E41" s="5" t="n"/>
      <c r="F41" s="5" t="n"/>
      <c r="G41" s="5" t="n"/>
      <c r="H41" s="5" t="n"/>
      <c r="I41" s="5" t="n"/>
      <c r="J41" s="5" t="n"/>
      <c r="K41" s="6" t="n"/>
      <c r="L41" s="6" t="n"/>
      <c r="M41" s="6" t="n"/>
      <c r="N41" s="5" t="n"/>
      <c r="O41" s="21" t="n"/>
      <c r="P41" s="5" t="n"/>
      <c r="Q41" s="5" t="n"/>
      <c r="R41" s="6" t="n"/>
      <c r="S41" s="4" t="n"/>
      <c r="T41" s="4" t="n"/>
      <c r="U41" s="3">
        <f>IF(C41="","",IF(T41="",TODAY()-C41,T41-C41))</f>
        <v/>
      </c>
      <c r="V41" s="5" t="n"/>
      <c r="W41" s="6" t="n"/>
      <c r="X41" s="3">
        <f>IF(P41="","",IFERROR(VLOOKUP(P41,Parâmetros!$J$2:$K$5,2,FALSE),""))</f>
        <v/>
      </c>
      <c r="Y41" s="4">
        <f>IF(OR(C41="",X41=""),"",C41+X41)</f>
        <v/>
      </c>
      <c r="Z41" s="5">
        <f>IF(C41="","",IF(Q41="Concluído","Concluído",IF(Y41&lt;TODAY(),"Vencido",IF(Y41-TODAY()&lt;=2,"A vencer","No prazo"))))</f>
        <v/>
      </c>
      <c r="AA41" s="3">
        <f>IF(OR(Y41="",Q41="Concluído"),"",Y41-TODAY())</f>
        <v/>
      </c>
      <c r="AB41" s="5" t="n"/>
      <c r="AC41" s="5" t="n"/>
      <c r="AD41" s="4" t="n"/>
    </row>
    <row r="42">
      <c r="A42" s="3">
        <f>IF(C42="","",ROW()-1)</f>
        <v/>
      </c>
      <c r="B42" s="4" t="n"/>
      <c r="C42" s="4" t="n"/>
      <c r="D42" s="5" t="n"/>
      <c r="E42" s="5" t="n"/>
      <c r="F42" s="5" t="n"/>
      <c r="G42" s="5" t="n"/>
      <c r="H42" s="5" t="n"/>
      <c r="I42" s="5" t="n"/>
      <c r="J42" s="5" t="n"/>
      <c r="K42" s="6" t="n"/>
      <c r="L42" s="6" t="n"/>
      <c r="M42" s="6" t="n"/>
      <c r="N42" s="5" t="n"/>
      <c r="O42" s="21" t="n"/>
      <c r="P42" s="5" t="n"/>
      <c r="Q42" s="5" t="n"/>
      <c r="R42" s="6" t="n"/>
      <c r="S42" s="4" t="n"/>
      <c r="T42" s="4" t="n"/>
      <c r="U42" s="3">
        <f>IF(C42="","",IF(T42="",TODAY()-C42,T42-C42))</f>
        <v/>
      </c>
      <c r="V42" s="5" t="n"/>
      <c r="W42" s="6" t="n"/>
      <c r="X42" s="3">
        <f>IF(P42="","",IFERROR(VLOOKUP(P42,Parâmetros!$J$2:$K$5,2,FALSE),""))</f>
        <v/>
      </c>
      <c r="Y42" s="4">
        <f>IF(OR(C42="",X42=""),"",C42+X42)</f>
        <v/>
      </c>
      <c r="Z42" s="5">
        <f>IF(C42="","",IF(Q42="Concluído","Concluído",IF(Y42&lt;TODAY(),"Vencido",IF(Y42-TODAY()&lt;=2,"A vencer","No prazo"))))</f>
        <v/>
      </c>
      <c r="AA42" s="3">
        <f>IF(OR(Y42="",Q42="Concluído"),"",Y42-TODAY())</f>
        <v/>
      </c>
      <c r="AB42" s="5" t="n"/>
      <c r="AC42" s="5" t="n"/>
      <c r="AD42" s="4" t="n"/>
    </row>
    <row r="43">
      <c r="A43" s="3">
        <f>IF(C43="","",ROW()-1)</f>
        <v/>
      </c>
      <c r="B43" s="4" t="n"/>
      <c r="C43" s="4" t="n"/>
      <c r="D43" s="5" t="n"/>
      <c r="E43" s="5" t="n"/>
      <c r="F43" s="5" t="n"/>
      <c r="G43" s="5" t="n"/>
      <c r="H43" s="5" t="n"/>
      <c r="I43" s="5" t="n"/>
      <c r="J43" s="5" t="n"/>
      <c r="K43" s="6" t="n"/>
      <c r="L43" s="6" t="n"/>
      <c r="M43" s="6" t="n"/>
      <c r="N43" s="5" t="n"/>
      <c r="O43" s="21" t="n"/>
      <c r="P43" s="5" t="n"/>
      <c r="Q43" s="5" t="n"/>
      <c r="R43" s="6" t="n"/>
      <c r="S43" s="4" t="n"/>
      <c r="T43" s="4" t="n"/>
      <c r="U43" s="3">
        <f>IF(C43="","",IF(T43="",TODAY()-C43,T43-C43))</f>
        <v/>
      </c>
      <c r="V43" s="5" t="n"/>
      <c r="W43" s="6" t="n"/>
      <c r="X43" s="3">
        <f>IF(P43="","",IFERROR(VLOOKUP(P43,Parâmetros!$J$2:$K$5,2,FALSE),""))</f>
        <v/>
      </c>
      <c r="Y43" s="4">
        <f>IF(OR(C43="",X43=""),"",C43+X43)</f>
        <v/>
      </c>
      <c r="Z43" s="5">
        <f>IF(C43="","",IF(Q43="Concluído","Concluído",IF(Y43&lt;TODAY(),"Vencido",IF(Y43-TODAY()&lt;=2,"A vencer","No prazo"))))</f>
        <v/>
      </c>
      <c r="AA43" s="3">
        <f>IF(OR(Y43="",Q43="Concluído"),"",Y43-TODAY())</f>
        <v/>
      </c>
      <c r="AB43" s="5" t="n"/>
      <c r="AC43" s="5" t="n"/>
      <c r="AD43" s="4" t="n"/>
    </row>
    <row r="44">
      <c r="A44" s="3">
        <f>IF(C44="","",ROW()-1)</f>
        <v/>
      </c>
      <c r="B44" s="4" t="n"/>
      <c r="C44" s="4" t="n"/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/>
      <c r="N44" s="5" t="n"/>
      <c r="O44" s="21" t="n"/>
      <c r="P44" s="5" t="n"/>
      <c r="Q44" s="5" t="n"/>
      <c r="R44" s="6" t="n"/>
      <c r="S44" s="4" t="n"/>
      <c r="T44" s="4" t="n"/>
      <c r="U44" s="3">
        <f>IF(C44="","",IF(T44="",TODAY()-C44,T44-C44))</f>
        <v/>
      </c>
      <c r="V44" s="5" t="n"/>
      <c r="W44" s="6" t="n"/>
      <c r="X44" s="3">
        <f>IF(P44="","",IFERROR(VLOOKUP(P44,Parâmetros!$J$2:$K$5,2,FALSE),""))</f>
        <v/>
      </c>
      <c r="Y44" s="4">
        <f>IF(OR(C44="",X44=""),"",C44+X44)</f>
        <v/>
      </c>
      <c r="Z44" s="5">
        <f>IF(C44="","",IF(Q44="Concluído","Concluído",IF(Y44&lt;TODAY(),"Vencido",IF(Y44-TODAY()&lt;=2,"A vencer","No prazo"))))</f>
        <v/>
      </c>
      <c r="AA44" s="3">
        <f>IF(OR(Y44="",Q44="Concluído"),"",Y44-TODAY())</f>
        <v/>
      </c>
      <c r="AB44" s="5" t="n"/>
      <c r="AC44" s="5" t="n"/>
      <c r="AD44" s="4" t="n"/>
    </row>
    <row r="45">
      <c r="A45" s="3">
        <f>IF(C45="","",ROW()-1)</f>
        <v/>
      </c>
      <c r="B45" s="4" t="n"/>
      <c r="C45" s="4" t="n"/>
      <c r="D45" s="5" t="n"/>
      <c r="E45" s="5" t="n"/>
      <c r="F45" s="5" t="n"/>
      <c r="G45" s="5" t="n"/>
      <c r="H45" s="5" t="n"/>
      <c r="I45" s="5" t="n"/>
      <c r="J45" s="5" t="n"/>
      <c r="K45" s="6" t="n"/>
      <c r="L45" s="6" t="n"/>
      <c r="M45" s="6" t="n"/>
      <c r="N45" s="5" t="n"/>
      <c r="O45" s="21" t="n"/>
      <c r="P45" s="5" t="n"/>
      <c r="Q45" s="5" t="n"/>
      <c r="R45" s="6" t="n"/>
      <c r="S45" s="4" t="n"/>
      <c r="T45" s="4" t="n"/>
      <c r="U45" s="3">
        <f>IF(C45="","",IF(T45="",TODAY()-C45,T45-C45))</f>
        <v/>
      </c>
      <c r="V45" s="5" t="n"/>
      <c r="W45" s="6" t="n"/>
      <c r="X45" s="3">
        <f>IF(P45="","",IFERROR(VLOOKUP(P45,Parâmetros!$J$2:$K$5,2,FALSE),""))</f>
        <v/>
      </c>
      <c r="Y45" s="4">
        <f>IF(OR(C45="",X45=""),"",C45+X45)</f>
        <v/>
      </c>
      <c r="Z45" s="5">
        <f>IF(C45="","",IF(Q45="Concluído","Concluído",IF(Y45&lt;TODAY(),"Vencido",IF(Y45-TODAY()&lt;=2,"A vencer","No prazo"))))</f>
        <v/>
      </c>
      <c r="AA45" s="3">
        <f>IF(OR(Y45="",Q45="Concluído"),"",Y45-TODAY())</f>
        <v/>
      </c>
      <c r="AB45" s="5" t="n"/>
      <c r="AC45" s="5" t="n"/>
      <c r="AD45" s="4" t="n"/>
    </row>
    <row r="46">
      <c r="A46" s="3">
        <f>IF(C46="","",ROW()-1)</f>
        <v/>
      </c>
      <c r="B46" s="4" t="n"/>
      <c r="C46" s="4" t="n"/>
      <c r="D46" s="5" t="n"/>
      <c r="E46" s="5" t="n"/>
      <c r="F46" s="5" t="n"/>
      <c r="G46" s="5" t="n"/>
      <c r="H46" s="5" t="n"/>
      <c r="I46" s="5" t="n"/>
      <c r="J46" s="5" t="n"/>
      <c r="K46" s="6" t="n"/>
      <c r="L46" s="6" t="n"/>
      <c r="M46" s="6" t="n"/>
      <c r="N46" s="5" t="n"/>
      <c r="O46" s="21" t="n"/>
      <c r="P46" s="5" t="n"/>
      <c r="Q46" s="5" t="n"/>
      <c r="R46" s="6" t="n"/>
      <c r="S46" s="4" t="n"/>
      <c r="T46" s="4" t="n"/>
      <c r="U46" s="3">
        <f>IF(C46="","",IF(T46="",TODAY()-C46,T46-C46))</f>
        <v/>
      </c>
      <c r="V46" s="5" t="n"/>
      <c r="W46" s="6" t="n"/>
      <c r="X46" s="3">
        <f>IF(P46="","",IFERROR(VLOOKUP(P46,Parâmetros!$J$2:$K$5,2,FALSE),""))</f>
        <v/>
      </c>
      <c r="Y46" s="4">
        <f>IF(OR(C46="",X46=""),"",C46+X46)</f>
        <v/>
      </c>
      <c r="Z46" s="5">
        <f>IF(C46="","",IF(Q46="Concluído","Concluído",IF(Y46&lt;TODAY(),"Vencido",IF(Y46-TODAY()&lt;=2,"A vencer","No prazo"))))</f>
        <v/>
      </c>
      <c r="AA46" s="3">
        <f>IF(OR(Y46="",Q46="Concluído"),"",Y46-TODAY())</f>
        <v/>
      </c>
      <c r="AB46" s="5" t="n"/>
      <c r="AC46" s="5" t="n"/>
      <c r="AD46" s="4" t="n"/>
    </row>
    <row r="47">
      <c r="A47" s="3">
        <f>IF(C47="","",ROW()-1)</f>
        <v/>
      </c>
      <c r="B47" s="4" t="n"/>
      <c r="C47" s="4" t="n"/>
      <c r="D47" s="5" t="n"/>
      <c r="E47" s="5" t="n"/>
      <c r="F47" s="5" t="n"/>
      <c r="G47" s="5" t="n"/>
      <c r="H47" s="5" t="n"/>
      <c r="I47" s="5" t="n"/>
      <c r="J47" s="5" t="n"/>
      <c r="K47" s="6" t="n"/>
      <c r="L47" s="6" t="n"/>
      <c r="M47" s="6" t="n"/>
      <c r="N47" s="5" t="n"/>
      <c r="O47" s="21" t="n"/>
      <c r="P47" s="5" t="n"/>
      <c r="Q47" s="5" t="n"/>
      <c r="R47" s="6" t="n"/>
      <c r="S47" s="4" t="n"/>
      <c r="T47" s="4" t="n"/>
      <c r="U47" s="3">
        <f>IF(C47="","",IF(T47="",TODAY()-C47,T47-C47))</f>
        <v/>
      </c>
      <c r="V47" s="5" t="n"/>
      <c r="W47" s="6" t="n"/>
      <c r="X47" s="3">
        <f>IF(P47="","",IFERROR(VLOOKUP(P47,Parâmetros!$J$2:$K$5,2,FALSE),""))</f>
        <v/>
      </c>
      <c r="Y47" s="4">
        <f>IF(OR(C47="",X47=""),"",C47+X47)</f>
        <v/>
      </c>
      <c r="Z47" s="5">
        <f>IF(C47="","",IF(Q47="Concluído","Concluído",IF(Y47&lt;TODAY(),"Vencido",IF(Y47-TODAY()&lt;=2,"A vencer","No prazo"))))</f>
        <v/>
      </c>
      <c r="AA47" s="3">
        <f>IF(OR(Y47="",Q47="Concluído"),"",Y47-TODAY())</f>
        <v/>
      </c>
      <c r="AB47" s="5" t="n"/>
      <c r="AC47" s="5" t="n"/>
      <c r="AD47" s="4" t="n"/>
    </row>
    <row r="48">
      <c r="A48" s="3">
        <f>IF(C48="","",ROW()-1)</f>
        <v/>
      </c>
      <c r="B48" s="4" t="n"/>
      <c r="C48" s="4" t="n"/>
      <c r="D48" s="5" t="n"/>
      <c r="E48" s="5" t="n"/>
      <c r="F48" s="5" t="n"/>
      <c r="G48" s="5" t="n"/>
      <c r="H48" s="5" t="n"/>
      <c r="I48" s="5" t="n"/>
      <c r="J48" s="5" t="n"/>
      <c r="K48" s="6" t="n"/>
      <c r="L48" s="6" t="n"/>
      <c r="M48" s="6" t="n"/>
      <c r="N48" s="5" t="n"/>
      <c r="O48" s="21" t="n"/>
      <c r="P48" s="5" t="n"/>
      <c r="Q48" s="5" t="n"/>
      <c r="R48" s="6" t="n"/>
      <c r="S48" s="4" t="n"/>
      <c r="T48" s="4" t="n"/>
      <c r="U48" s="3">
        <f>IF(C48="","",IF(T48="",TODAY()-C48,T48-C48))</f>
        <v/>
      </c>
      <c r="V48" s="5" t="n"/>
      <c r="W48" s="6" t="n"/>
      <c r="X48" s="3">
        <f>IF(P48="","",IFERROR(VLOOKUP(P48,Parâmetros!$J$2:$K$5,2,FALSE),""))</f>
        <v/>
      </c>
      <c r="Y48" s="4">
        <f>IF(OR(C48="",X48=""),"",C48+X48)</f>
        <v/>
      </c>
      <c r="Z48" s="5">
        <f>IF(C48="","",IF(Q48="Concluído","Concluído",IF(Y48&lt;TODAY(),"Vencido",IF(Y48-TODAY()&lt;=2,"A vencer","No prazo"))))</f>
        <v/>
      </c>
      <c r="AA48" s="3">
        <f>IF(OR(Y48="",Q48="Concluído"),"",Y48-TODAY())</f>
        <v/>
      </c>
      <c r="AB48" s="5" t="n"/>
      <c r="AC48" s="5" t="n"/>
      <c r="AD48" s="4" t="n"/>
    </row>
    <row r="49">
      <c r="A49" s="3">
        <f>IF(C49="","",ROW()-1)</f>
        <v/>
      </c>
      <c r="B49" s="4" t="n"/>
      <c r="C49" s="4" t="n"/>
      <c r="D49" s="5" t="n"/>
      <c r="E49" s="5" t="n"/>
      <c r="F49" s="5" t="n"/>
      <c r="G49" s="5" t="n"/>
      <c r="H49" s="5" t="n"/>
      <c r="I49" s="5" t="n"/>
      <c r="J49" s="5" t="n"/>
      <c r="K49" s="6" t="n"/>
      <c r="L49" s="6" t="n"/>
      <c r="M49" s="6" t="n"/>
      <c r="N49" s="5" t="n"/>
      <c r="O49" s="21" t="n"/>
      <c r="P49" s="5" t="n"/>
      <c r="Q49" s="5" t="n"/>
      <c r="R49" s="6" t="n"/>
      <c r="S49" s="4" t="n"/>
      <c r="T49" s="4" t="n"/>
      <c r="U49" s="3">
        <f>IF(C49="","",IF(T49="",TODAY()-C49,T49-C49))</f>
        <v/>
      </c>
      <c r="V49" s="5" t="n"/>
      <c r="W49" s="6" t="n"/>
      <c r="X49" s="3">
        <f>IF(P49="","",IFERROR(VLOOKUP(P49,Parâmetros!$J$2:$K$5,2,FALSE),""))</f>
        <v/>
      </c>
      <c r="Y49" s="4">
        <f>IF(OR(C49="",X49=""),"",C49+X49)</f>
        <v/>
      </c>
      <c r="Z49" s="5">
        <f>IF(C49="","",IF(Q49="Concluído","Concluído",IF(Y49&lt;TODAY(),"Vencido",IF(Y49-TODAY()&lt;=2,"A vencer","No prazo"))))</f>
        <v/>
      </c>
      <c r="AA49" s="3">
        <f>IF(OR(Y49="",Q49="Concluído"),"",Y49-TODAY())</f>
        <v/>
      </c>
      <c r="AB49" s="5" t="n"/>
      <c r="AC49" s="5" t="n"/>
      <c r="AD49" s="4" t="n"/>
    </row>
    <row r="50">
      <c r="A50" s="3">
        <f>IF(C50="","",ROW()-1)</f>
        <v/>
      </c>
      <c r="B50" s="4" t="n"/>
      <c r="C50" s="4" t="n"/>
      <c r="D50" s="5" t="n"/>
      <c r="E50" s="5" t="n"/>
      <c r="F50" s="5" t="n"/>
      <c r="G50" s="5" t="n"/>
      <c r="H50" s="5" t="n"/>
      <c r="I50" s="5" t="n"/>
      <c r="J50" s="5" t="n"/>
      <c r="K50" s="6" t="n"/>
      <c r="L50" s="6" t="n"/>
      <c r="M50" s="6" t="n"/>
      <c r="N50" s="5" t="n"/>
      <c r="O50" s="21" t="n"/>
      <c r="P50" s="5" t="n"/>
      <c r="Q50" s="5" t="n"/>
      <c r="R50" s="6" t="n"/>
      <c r="S50" s="4" t="n"/>
      <c r="T50" s="4" t="n"/>
      <c r="U50" s="3">
        <f>IF(C50="","",IF(T50="",TODAY()-C50,T50-C50))</f>
        <v/>
      </c>
      <c r="V50" s="5" t="n"/>
      <c r="W50" s="6" t="n"/>
      <c r="X50" s="3">
        <f>IF(P50="","",IFERROR(VLOOKUP(P50,Parâmetros!$J$2:$K$5,2,FALSE),""))</f>
        <v/>
      </c>
      <c r="Y50" s="4">
        <f>IF(OR(C50="",X50=""),"",C50+X50)</f>
        <v/>
      </c>
      <c r="Z50" s="5">
        <f>IF(C50="","",IF(Q50="Concluído","Concluído",IF(Y50&lt;TODAY(),"Vencido",IF(Y50-TODAY()&lt;=2,"A vencer","No prazo"))))</f>
        <v/>
      </c>
      <c r="AA50" s="3">
        <f>IF(OR(Y50="",Q50="Concluído"),"",Y50-TODAY())</f>
        <v/>
      </c>
      <c r="AB50" s="5" t="n"/>
      <c r="AC50" s="5" t="n"/>
      <c r="AD50" s="4" t="n"/>
    </row>
    <row r="51">
      <c r="A51" s="3">
        <f>IF(C51="","",ROW()-1)</f>
        <v/>
      </c>
      <c r="B51" s="4" t="n"/>
      <c r="C51" s="4" t="n"/>
      <c r="D51" s="5" t="n"/>
      <c r="E51" s="5" t="n"/>
      <c r="F51" s="5" t="n"/>
      <c r="G51" s="5" t="n"/>
      <c r="H51" s="5" t="n"/>
      <c r="I51" s="5" t="n"/>
      <c r="J51" s="5" t="n"/>
      <c r="K51" s="6" t="n"/>
      <c r="L51" s="6" t="n"/>
      <c r="M51" s="6" t="n"/>
      <c r="N51" s="5" t="n"/>
      <c r="O51" s="21" t="n"/>
      <c r="P51" s="5" t="n"/>
      <c r="Q51" s="5" t="n"/>
      <c r="R51" s="6" t="n"/>
      <c r="S51" s="4" t="n"/>
      <c r="T51" s="4" t="n"/>
      <c r="U51" s="3">
        <f>IF(C51="","",IF(T51="",TODAY()-C51,T51-C51))</f>
        <v/>
      </c>
      <c r="V51" s="5" t="n"/>
      <c r="W51" s="6" t="n"/>
      <c r="X51" s="3">
        <f>IF(P51="","",IFERROR(VLOOKUP(P51,Parâmetros!$J$2:$K$5,2,FALSE),""))</f>
        <v/>
      </c>
      <c r="Y51" s="4">
        <f>IF(OR(C51="",X51=""),"",C51+X51)</f>
        <v/>
      </c>
      <c r="Z51" s="5">
        <f>IF(C51="","",IF(Q51="Concluído","Concluído",IF(Y51&lt;TODAY(),"Vencido",IF(Y51-TODAY()&lt;=2,"A vencer","No prazo"))))</f>
        <v/>
      </c>
      <c r="AA51" s="3">
        <f>IF(OR(Y51="",Q51="Concluído"),"",Y51-TODAY())</f>
        <v/>
      </c>
      <c r="AB51" s="5" t="n"/>
      <c r="AC51" s="5" t="n"/>
      <c r="AD51" s="4" t="n"/>
    </row>
    <row r="52">
      <c r="A52" s="3">
        <f>IF(C52="","",ROW()-1)</f>
        <v/>
      </c>
      <c r="B52" s="4" t="n"/>
      <c r="C52" s="4" t="n"/>
      <c r="D52" s="5" t="n"/>
      <c r="E52" s="5" t="n"/>
      <c r="F52" s="5" t="n"/>
      <c r="G52" s="5" t="n"/>
      <c r="H52" s="5" t="n"/>
      <c r="I52" s="5" t="n"/>
      <c r="J52" s="5" t="n"/>
      <c r="K52" s="6" t="n"/>
      <c r="L52" s="6" t="n"/>
      <c r="M52" s="6" t="n"/>
      <c r="N52" s="5" t="n"/>
      <c r="O52" s="21" t="n"/>
      <c r="P52" s="5" t="n"/>
      <c r="Q52" s="5" t="n"/>
      <c r="R52" s="6" t="n"/>
      <c r="S52" s="4" t="n"/>
      <c r="T52" s="4" t="n"/>
      <c r="U52" s="3">
        <f>IF(C52="","",IF(T52="",TODAY()-C52,T52-C52))</f>
        <v/>
      </c>
      <c r="V52" s="5" t="n"/>
      <c r="W52" s="6" t="n"/>
      <c r="X52" s="3">
        <f>IF(P52="","",IFERROR(VLOOKUP(P52,Parâmetros!$J$2:$K$5,2,FALSE),""))</f>
        <v/>
      </c>
      <c r="Y52" s="4">
        <f>IF(OR(C52="",X52=""),"",C52+X52)</f>
        <v/>
      </c>
      <c r="Z52" s="5">
        <f>IF(C52="","",IF(Q52="Concluído","Concluído",IF(Y52&lt;TODAY(),"Vencido",IF(Y52-TODAY()&lt;=2,"A vencer","No prazo"))))</f>
        <v/>
      </c>
      <c r="AA52" s="3">
        <f>IF(OR(Y52="",Q52="Concluído"),"",Y52-TODAY())</f>
        <v/>
      </c>
      <c r="AB52" s="5" t="n"/>
      <c r="AC52" s="5" t="n"/>
      <c r="AD52" s="4" t="n"/>
    </row>
    <row r="53">
      <c r="A53" s="3">
        <f>IF(C53="","",ROW()-1)</f>
        <v/>
      </c>
      <c r="B53" s="4" t="n"/>
      <c r="C53" s="4" t="n"/>
      <c r="D53" s="5" t="n"/>
      <c r="E53" s="5" t="n"/>
      <c r="F53" s="5" t="n"/>
      <c r="G53" s="5" t="n"/>
      <c r="H53" s="5" t="n"/>
      <c r="I53" s="5" t="n"/>
      <c r="J53" s="5" t="n"/>
      <c r="K53" s="6" t="n"/>
      <c r="L53" s="6" t="n"/>
      <c r="M53" s="6" t="n"/>
      <c r="N53" s="5" t="n"/>
      <c r="O53" s="21" t="n"/>
      <c r="P53" s="5" t="n"/>
      <c r="Q53" s="5" t="n"/>
      <c r="R53" s="6" t="n"/>
      <c r="S53" s="4" t="n"/>
      <c r="T53" s="4" t="n"/>
      <c r="U53" s="3">
        <f>IF(C53="","",IF(T53="",TODAY()-C53,T53-C53))</f>
        <v/>
      </c>
      <c r="V53" s="5" t="n"/>
      <c r="W53" s="6" t="n"/>
      <c r="X53" s="3">
        <f>IF(P53="","",IFERROR(VLOOKUP(P53,Parâmetros!$J$2:$K$5,2,FALSE),""))</f>
        <v/>
      </c>
      <c r="Y53" s="4">
        <f>IF(OR(C53="",X53=""),"",C53+X53)</f>
        <v/>
      </c>
      <c r="Z53" s="5">
        <f>IF(C53="","",IF(Q53="Concluído","Concluído",IF(Y53&lt;TODAY(),"Vencido",IF(Y53-TODAY()&lt;=2,"A vencer","No prazo"))))</f>
        <v/>
      </c>
      <c r="AA53" s="3">
        <f>IF(OR(Y53="",Q53="Concluído"),"",Y53-TODAY())</f>
        <v/>
      </c>
      <c r="AB53" s="5" t="n"/>
      <c r="AC53" s="5" t="n"/>
      <c r="AD53" s="4" t="n"/>
    </row>
    <row r="54">
      <c r="A54" s="3">
        <f>IF(C54="","",ROW()-1)</f>
        <v/>
      </c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6" t="n"/>
      <c r="L54" s="6" t="n"/>
      <c r="M54" s="6" t="n"/>
      <c r="N54" s="5" t="n"/>
      <c r="O54" s="21" t="n"/>
      <c r="P54" s="5" t="n"/>
      <c r="Q54" s="5" t="n"/>
      <c r="R54" s="6" t="n"/>
      <c r="S54" s="4" t="n"/>
      <c r="T54" s="4" t="n"/>
      <c r="U54" s="3">
        <f>IF(C54="","",IF(T54="",TODAY()-C54,T54-C54))</f>
        <v/>
      </c>
      <c r="V54" s="5" t="n"/>
      <c r="W54" s="6" t="n"/>
      <c r="X54" s="3">
        <f>IF(P54="","",IFERROR(VLOOKUP(P54,Parâmetros!$J$2:$K$5,2,FALSE),""))</f>
        <v/>
      </c>
      <c r="Y54" s="4">
        <f>IF(OR(C54="",X54=""),"",C54+X54)</f>
        <v/>
      </c>
      <c r="Z54" s="5">
        <f>IF(C54="","",IF(Q54="Concluído","Concluído",IF(Y54&lt;TODAY(),"Vencido",IF(Y54-TODAY()&lt;=2,"A vencer","No prazo"))))</f>
        <v/>
      </c>
      <c r="AA54" s="3">
        <f>IF(OR(Y54="",Q54="Concluído"),"",Y54-TODAY())</f>
        <v/>
      </c>
      <c r="AB54" s="5" t="n"/>
      <c r="AC54" s="5" t="n"/>
      <c r="AD54" s="4" t="n"/>
    </row>
    <row r="55">
      <c r="A55" s="3">
        <f>IF(C55="","",ROW()-1)</f>
        <v/>
      </c>
      <c r="B55" s="4" t="n"/>
      <c r="C55" s="4" t="n"/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/>
      <c r="N55" s="5" t="n"/>
      <c r="O55" s="21" t="n"/>
      <c r="P55" s="5" t="n"/>
      <c r="Q55" s="5" t="n"/>
      <c r="R55" s="6" t="n"/>
      <c r="S55" s="4" t="n"/>
      <c r="T55" s="4" t="n"/>
      <c r="U55" s="3">
        <f>IF(C55="","",IF(T55="",TODAY()-C55,T55-C55))</f>
        <v/>
      </c>
      <c r="V55" s="5" t="n"/>
      <c r="W55" s="6" t="n"/>
      <c r="X55" s="3">
        <f>IF(P55="","",IFERROR(VLOOKUP(P55,Parâmetros!$J$2:$K$5,2,FALSE),""))</f>
        <v/>
      </c>
      <c r="Y55" s="4">
        <f>IF(OR(C55="",X55=""),"",C55+X55)</f>
        <v/>
      </c>
      <c r="Z55" s="5">
        <f>IF(C55="","",IF(Q55="Concluído","Concluído",IF(Y55&lt;TODAY(),"Vencido",IF(Y55-TODAY()&lt;=2,"A vencer","No prazo"))))</f>
        <v/>
      </c>
      <c r="AA55" s="3">
        <f>IF(OR(Y55="",Q55="Concluído"),"",Y55-TODAY())</f>
        <v/>
      </c>
      <c r="AB55" s="5" t="n"/>
      <c r="AC55" s="5" t="n"/>
      <c r="AD55" s="4" t="n"/>
    </row>
    <row r="56">
      <c r="A56" s="3">
        <f>IF(C56="","",ROW()-1)</f>
        <v/>
      </c>
      <c r="B56" s="4" t="n"/>
      <c r="C56" s="4" t="n"/>
      <c r="D56" s="5" t="n"/>
      <c r="E56" s="5" t="n"/>
      <c r="F56" s="5" t="n"/>
      <c r="G56" s="5" t="n"/>
      <c r="H56" s="5" t="n"/>
      <c r="I56" s="5" t="n"/>
      <c r="J56" s="5" t="n"/>
      <c r="K56" s="6" t="n"/>
      <c r="L56" s="6" t="n"/>
      <c r="M56" s="6" t="n"/>
      <c r="N56" s="5" t="n"/>
      <c r="O56" s="21" t="n"/>
      <c r="P56" s="5" t="n"/>
      <c r="Q56" s="5" t="n"/>
      <c r="R56" s="6" t="n"/>
      <c r="S56" s="4" t="n"/>
      <c r="T56" s="4" t="n"/>
      <c r="U56" s="3">
        <f>IF(C56="","",IF(T56="",TODAY()-C56,T56-C56))</f>
        <v/>
      </c>
      <c r="V56" s="5" t="n"/>
      <c r="W56" s="6" t="n"/>
      <c r="X56" s="3">
        <f>IF(P56="","",IFERROR(VLOOKUP(P56,Parâmetros!$J$2:$K$5,2,FALSE),""))</f>
        <v/>
      </c>
      <c r="Y56" s="4">
        <f>IF(OR(C56="",X56=""),"",C56+X56)</f>
        <v/>
      </c>
      <c r="Z56" s="5">
        <f>IF(C56="","",IF(Q56="Concluído","Concluído",IF(Y56&lt;TODAY(),"Vencido",IF(Y56-TODAY()&lt;=2,"A vencer","No prazo"))))</f>
        <v/>
      </c>
      <c r="AA56" s="3">
        <f>IF(OR(Y56="",Q56="Concluído"),"",Y56-TODAY())</f>
        <v/>
      </c>
      <c r="AB56" s="5" t="n"/>
      <c r="AC56" s="5" t="n"/>
      <c r="AD56" s="4" t="n"/>
    </row>
    <row r="57">
      <c r="A57" s="3">
        <f>IF(C57="","",ROW()-1)</f>
        <v/>
      </c>
      <c r="B57" s="4" t="n"/>
      <c r="C57" s="4" t="n"/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/>
      <c r="N57" s="5" t="n"/>
      <c r="O57" s="21" t="n"/>
      <c r="P57" s="5" t="n"/>
      <c r="Q57" s="5" t="n"/>
      <c r="R57" s="6" t="n"/>
      <c r="S57" s="4" t="n"/>
      <c r="T57" s="4" t="n"/>
      <c r="U57" s="3">
        <f>IF(C57="","",IF(T57="",TODAY()-C57,T57-C57))</f>
        <v/>
      </c>
      <c r="V57" s="5" t="n"/>
      <c r="W57" s="6" t="n"/>
      <c r="X57" s="3">
        <f>IF(P57="","",IFERROR(VLOOKUP(P57,Parâmetros!$J$2:$K$5,2,FALSE),""))</f>
        <v/>
      </c>
      <c r="Y57" s="4">
        <f>IF(OR(C57="",X57=""),"",C57+X57)</f>
        <v/>
      </c>
      <c r="Z57" s="5">
        <f>IF(C57="","",IF(Q57="Concluído","Concluído",IF(Y57&lt;TODAY(),"Vencido",IF(Y57-TODAY()&lt;=2,"A vencer","No prazo"))))</f>
        <v/>
      </c>
      <c r="AA57" s="3">
        <f>IF(OR(Y57="",Q57="Concluído"),"",Y57-TODAY())</f>
        <v/>
      </c>
      <c r="AB57" s="5" t="n"/>
      <c r="AC57" s="5" t="n"/>
      <c r="AD57" s="4" t="n"/>
    </row>
    <row r="58">
      <c r="A58" s="3">
        <f>IF(C58="","",ROW()-1)</f>
        <v/>
      </c>
      <c r="B58" s="4" t="n"/>
      <c r="C58" s="4" t="n"/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/>
      <c r="N58" s="5" t="n"/>
      <c r="O58" s="21" t="n"/>
      <c r="P58" s="5" t="n"/>
      <c r="Q58" s="5" t="n"/>
      <c r="R58" s="6" t="n"/>
      <c r="S58" s="4" t="n"/>
      <c r="T58" s="4" t="n"/>
      <c r="U58" s="3">
        <f>IF(C58="","",IF(T58="",TODAY()-C58,T58-C58))</f>
        <v/>
      </c>
      <c r="V58" s="5" t="n"/>
      <c r="W58" s="6" t="n"/>
      <c r="X58" s="3">
        <f>IF(P58="","",IFERROR(VLOOKUP(P58,Parâmetros!$J$2:$K$5,2,FALSE),""))</f>
        <v/>
      </c>
      <c r="Y58" s="4">
        <f>IF(OR(C58="",X58=""),"",C58+X58)</f>
        <v/>
      </c>
      <c r="Z58" s="5">
        <f>IF(C58="","",IF(Q58="Concluído","Concluído",IF(Y58&lt;TODAY(),"Vencido",IF(Y58-TODAY()&lt;=2,"A vencer","No prazo"))))</f>
        <v/>
      </c>
      <c r="AA58" s="3">
        <f>IF(OR(Y58="",Q58="Concluído"),"",Y58-TODAY())</f>
        <v/>
      </c>
      <c r="AB58" s="5" t="n"/>
      <c r="AC58" s="5" t="n"/>
      <c r="AD58" s="4" t="n"/>
    </row>
    <row r="59">
      <c r="A59" s="3">
        <f>IF(C59="","",ROW()-1)</f>
        <v/>
      </c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/>
      <c r="N59" s="5" t="n"/>
      <c r="O59" s="21" t="n"/>
      <c r="P59" s="5" t="n"/>
      <c r="Q59" s="5" t="n"/>
      <c r="R59" s="6" t="n"/>
      <c r="S59" s="4" t="n"/>
      <c r="T59" s="4" t="n"/>
      <c r="U59" s="3">
        <f>IF(C59="","",IF(T59="",TODAY()-C59,T59-C59))</f>
        <v/>
      </c>
      <c r="V59" s="5" t="n"/>
      <c r="W59" s="6" t="n"/>
      <c r="X59" s="3">
        <f>IF(P59="","",IFERROR(VLOOKUP(P59,Parâmetros!$J$2:$K$5,2,FALSE),""))</f>
        <v/>
      </c>
      <c r="Y59" s="4">
        <f>IF(OR(C59="",X59=""),"",C59+X59)</f>
        <v/>
      </c>
      <c r="Z59" s="5">
        <f>IF(C59="","",IF(Q59="Concluído","Concluído",IF(Y59&lt;TODAY(),"Vencido",IF(Y59-TODAY()&lt;=2,"A vencer","No prazo"))))</f>
        <v/>
      </c>
      <c r="AA59" s="3">
        <f>IF(OR(Y59="",Q59="Concluído"),"",Y59-TODAY())</f>
        <v/>
      </c>
      <c r="AB59" s="5" t="n"/>
      <c r="AC59" s="5" t="n"/>
      <c r="AD59" s="4" t="n"/>
    </row>
    <row r="60">
      <c r="A60" s="3">
        <f>IF(C60="","",ROW()-1)</f>
        <v/>
      </c>
      <c r="B60" s="4" t="n"/>
      <c r="C60" s="4" t="n"/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/>
      <c r="N60" s="5" t="n"/>
      <c r="O60" s="21" t="n"/>
      <c r="P60" s="5" t="n"/>
      <c r="Q60" s="5" t="n"/>
      <c r="R60" s="6" t="n"/>
      <c r="S60" s="4" t="n"/>
      <c r="T60" s="4" t="n"/>
      <c r="U60" s="3">
        <f>IF(C60="","",IF(T60="",TODAY()-C60,T60-C60))</f>
        <v/>
      </c>
      <c r="V60" s="5" t="n"/>
      <c r="W60" s="6" t="n"/>
      <c r="X60" s="3">
        <f>IF(P60="","",IFERROR(VLOOKUP(P60,Parâmetros!$J$2:$K$5,2,FALSE),""))</f>
        <v/>
      </c>
      <c r="Y60" s="4">
        <f>IF(OR(C60="",X60=""),"",C60+X60)</f>
        <v/>
      </c>
      <c r="Z60" s="5">
        <f>IF(C60="","",IF(Q60="Concluído","Concluído",IF(Y60&lt;TODAY(),"Vencido",IF(Y60-TODAY()&lt;=2,"A vencer","No prazo"))))</f>
        <v/>
      </c>
      <c r="AA60" s="3">
        <f>IF(OR(Y60="",Q60="Concluído"),"",Y60-TODAY())</f>
        <v/>
      </c>
      <c r="AB60" s="5" t="n"/>
      <c r="AC60" s="5" t="n"/>
      <c r="AD60" s="4" t="n"/>
    </row>
    <row r="61">
      <c r="A61" s="3">
        <f>IF(C61="","",ROW()-1)</f>
        <v/>
      </c>
      <c r="B61" s="4" t="n"/>
      <c r="C61" s="4" t="n"/>
      <c r="D61" s="5" t="n"/>
      <c r="E61" s="5" t="n"/>
      <c r="F61" s="5" t="n"/>
      <c r="G61" s="5" t="n"/>
      <c r="H61" s="5" t="n"/>
      <c r="I61" s="5" t="n"/>
      <c r="J61" s="5" t="n"/>
      <c r="K61" s="6" t="n"/>
      <c r="L61" s="6" t="n"/>
      <c r="M61" s="6" t="n"/>
      <c r="N61" s="5" t="n"/>
      <c r="O61" s="21" t="n"/>
      <c r="P61" s="5" t="n"/>
      <c r="Q61" s="5" t="n"/>
      <c r="R61" s="6" t="n"/>
      <c r="S61" s="4" t="n"/>
      <c r="T61" s="4" t="n"/>
      <c r="U61" s="3">
        <f>IF(C61="","",IF(T61="",TODAY()-C61,T61-C61))</f>
        <v/>
      </c>
      <c r="V61" s="5" t="n"/>
      <c r="W61" s="6" t="n"/>
      <c r="X61" s="3">
        <f>IF(P61="","",IFERROR(VLOOKUP(P61,Parâmetros!$J$2:$K$5,2,FALSE),""))</f>
        <v/>
      </c>
      <c r="Y61" s="4">
        <f>IF(OR(C61="",X61=""),"",C61+X61)</f>
        <v/>
      </c>
      <c r="Z61" s="5">
        <f>IF(C61="","",IF(Q61="Concluído","Concluído",IF(Y61&lt;TODAY(),"Vencido",IF(Y61-TODAY()&lt;=2,"A vencer","No prazo"))))</f>
        <v/>
      </c>
      <c r="AA61" s="3">
        <f>IF(OR(Y61="",Q61="Concluído"),"",Y61-TODAY())</f>
        <v/>
      </c>
      <c r="AB61" s="5" t="n"/>
      <c r="AC61" s="5" t="n"/>
      <c r="AD61" s="4" t="n"/>
    </row>
    <row r="62">
      <c r="A62" s="3">
        <f>IF(C62="","",ROW()-1)</f>
        <v/>
      </c>
      <c r="B62" s="4" t="n"/>
      <c r="C62" s="4" t="n"/>
      <c r="D62" s="5" t="n"/>
      <c r="E62" s="5" t="n"/>
      <c r="F62" s="5" t="n"/>
      <c r="G62" s="5" t="n"/>
      <c r="H62" s="5" t="n"/>
      <c r="I62" s="5" t="n"/>
      <c r="J62" s="5" t="n"/>
      <c r="K62" s="6" t="n"/>
      <c r="L62" s="6" t="n"/>
      <c r="M62" s="6" t="n"/>
      <c r="N62" s="5" t="n"/>
      <c r="O62" s="21" t="n"/>
      <c r="P62" s="5" t="n"/>
      <c r="Q62" s="5" t="n"/>
      <c r="R62" s="6" t="n"/>
      <c r="S62" s="4" t="n"/>
      <c r="T62" s="4" t="n"/>
      <c r="U62" s="3">
        <f>IF(C62="","",IF(T62="",TODAY()-C62,T62-C62))</f>
        <v/>
      </c>
      <c r="V62" s="5" t="n"/>
      <c r="W62" s="6" t="n"/>
      <c r="X62" s="3">
        <f>IF(P62="","",IFERROR(VLOOKUP(P62,Parâmetros!$J$2:$K$5,2,FALSE),""))</f>
        <v/>
      </c>
      <c r="Y62" s="4">
        <f>IF(OR(C62="",X62=""),"",C62+X62)</f>
        <v/>
      </c>
      <c r="Z62" s="5">
        <f>IF(C62="","",IF(Q62="Concluído","Concluído",IF(Y62&lt;TODAY(),"Vencido",IF(Y62-TODAY()&lt;=2,"A vencer","No prazo"))))</f>
        <v/>
      </c>
      <c r="AA62" s="3">
        <f>IF(OR(Y62="",Q62="Concluído"),"",Y62-TODAY())</f>
        <v/>
      </c>
      <c r="AB62" s="5" t="n"/>
      <c r="AC62" s="5" t="n"/>
      <c r="AD62" s="4" t="n"/>
    </row>
    <row r="63">
      <c r="A63" s="3">
        <f>IF(C63="","",ROW()-1)</f>
        <v/>
      </c>
      <c r="B63" s="4" t="n"/>
      <c r="C63" s="4" t="n"/>
      <c r="D63" s="5" t="n"/>
      <c r="E63" s="5" t="n"/>
      <c r="F63" s="5" t="n"/>
      <c r="G63" s="5" t="n"/>
      <c r="H63" s="5" t="n"/>
      <c r="I63" s="5" t="n"/>
      <c r="J63" s="5" t="n"/>
      <c r="K63" s="6" t="n"/>
      <c r="L63" s="6" t="n"/>
      <c r="M63" s="6" t="n"/>
      <c r="N63" s="5" t="n"/>
      <c r="O63" s="21" t="n"/>
      <c r="P63" s="5" t="n"/>
      <c r="Q63" s="5" t="n"/>
      <c r="R63" s="6" t="n"/>
      <c r="S63" s="4" t="n"/>
      <c r="T63" s="4" t="n"/>
      <c r="U63" s="3">
        <f>IF(C63="","",IF(T63="",TODAY()-C63,T63-C63))</f>
        <v/>
      </c>
      <c r="V63" s="5" t="n"/>
      <c r="W63" s="6" t="n"/>
      <c r="X63" s="3">
        <f>IF(P63="","",IFERROR(VLOOKUP(P63,Parâmetros!$J$2:$K$5,2,FALSE),""))</f>
        <v/>
      </c>
      <c r="Y63" s="4">
        <f>IF(OR(C63="",X63=""),"",C63+X63)</f>
        <v/>
      </c>
      <c r="Z63" s="5">
        <f>IF(C63="","",IF(Q63="Concluído","Concluído",IF(Y63&lt;TODAY(),"Vencido",IF(Y63-TODAY()&lt;=2,"A vencer","No prazo"))))</f>
        <v/>
      </c>
      <c r="AA63" s="3">
        <f>IF(OR(Y63="",Q63="Concluído"),"",Y63-TODAY())</f>
        <v/>
      </c>
      <c r="AB63" s="5" t="n"/>
      <c r="AC63" s="5" t="n"/>
      <c r="AD63" s="4" t="n"/>
    </row>
    <row r="64">
      <c r="A64" s="3">
        <f>IF(C64="","",ROW()-1)</f>
        <v/>
      </c>
      <c r="B64" s="4" t="n"/>
      <c r="C64" s="4" t="n"/>
      <c r="D64" s="5" t="n"/>
      <c r="E64" s="5" t="n"/>
      <c r="F64" s="5" t="n"/>
      <c r="G64" s="5" t="n"/>
      <c r="H64" s="5" t="n"/>
      <c r="I64" s="5" t="n"/>
      <c r="J64" s="5" t="n"/>
      <c r="K64" s="6" t="n"/>
      <c r="L64" s="6" t="n"/>
      <c r="M64" s="6" t="n"/>
      <c r="N64" s="5" t="n"/>
      <c r="O64" s="21" t="n"/>
      <c r="P64" s="5" t="n"/>
      <c r="Q64" s="5" t="n"/>
      <c r="R64" s="6" t="n"/>
      <c r="S64" s="4" t="n"/>
      <c r="T64" s="4" t="n"/>
      <c r="U64" s="3">
        <f>IF(C64="","",IF(T64="",TODAY()-C64,T64-C64))</f>
        <v/>
      </c>
      <c r="V64" s="5" t="n"/>
      <c r="W64" s="6" t="n"/>
      <c r="X64" s="3">
        <f>IF(P64="","",IFERROR(VLOOKUP(P64,Parâmetros!$J$2:$K$5,2,FALSE),""))</f>
        <v/>
      </c>
      <c r="Y64" s="4">
        <f>IF(OR(C64="",X64=""),"",C64+X64)</f>
        <v/>
      </c>
      <c r="Z64" s="5">
        <f>IF(C64="","",IF(Q64="Concluído","Concluído",IF(Y64&lt;TODAY(),"Vencido",IF(Y64-TODAY()&lt;=2,"A vencer","No prazo"))))</f>
        <v/>
      </c>
      <c r="AA64" s="3">
        <f>IF(OR(Y64="",Q64="Concluído"),"",Y64-TODAY())</f>
        <v/>
      </c>
      <c r="AB64" s="5" t="n"/>
      <c r="AC64" s="5" t="n"/>
      <c r="AD64" s="4" t="n"/>
    </row>
    <row r="65">
      <c r="A65" s="3">
        <f>IF(C65="","",ROW()-1)</f>
        <v/>
      </c>
      <c r="B65" s="4" t="n"/>
      <c r="C65" s="4" t="n"/>
      <c r="D65" s="5" t="n"/>
      <c r="E65" s="5" t="n"/>
      <c r="F65" s="5" t="n"/>
      <c r="G65" s="5" t="n"/>
      <c r="H65" s="5" t="n"/>
      <c r="I65" s="5" t="n"/>
      <c r="J65" s="5" t="n"/>
      <c r="K65" s="6" t="n"/>
      <c r="L65" s="6" t="n"/>
      <c r="M65" s="6" t="n"/>
      <c r="N65" s="5" t="n"/>
      <c r="O65" s="21" t="n"/>
      <c r="P65" s="5" t="n"/>
      <c r="Q65" s="5" t="n"/>
      <c r="R65" s="6" t="n"/>
      <c r="S65" s="4" t="n"/>
      <c r="T65" s="4" t="n"/>
      <c r="U65" s="3">
        <f>IF(C65="","",IF(T65="",TODAY()-C65,T65-C65))</f>
        <v/>
      </c>
      <c r="V65" s="5" t="n"/>
      <c r="W65" s="6" t="n"/>
      <c r="X65" s="3">
        <f>IF(P65="","",IFERROR(VLOOKUP(P65,Parâmetros!$J$2:$K$5,2,FALSE),""))</f>
        <v/>
      </c>
      <c r="Y65" s="4">
        <f>IF(OR(C65="",X65=""),"",C65+X65)</f>
        <v/>
      </c>
      <c r="Z65" s="5">
        <f>IF(C65="","",IF(Q65="Concluído","Concluído",IF(Y65&lt;TODAY(),"Vencido",IF(Y65-TODAY()&lt;=2,"A vencer","No prazo"))))</f>
        <v/>
      </c>
      <c r="AA65" s="3">
        <f>IF(OR(Y65="",Q65="Concluído"),"",Y65-TODAY())</f>
        <v/>
      </c>
      <c r="AB65" s="5" t="n"/>
      <c r="AC65" s="5" t="n"/>
      <c r="AD65" s="4" t="n"/>
    </row>
    <row r="66">
      <c r="A66" s="3">
        <f>IF(C66="","",ROW()-1)</f>
        <v/>
      </c>
      <c r="B66" s="4" t="n"/>
      <c r="C66" s="4" t="n"/>
      <c r="D66" s="5" t="n"/>
      <c r="E66" s="5" t="n"/>
      <c r="F66" s="5" t="n"/>
      <c r="G66" s="5" t="n"/>
      <c r="H66" s="5" t="n"/>
      <c r="I66" s="5" t="n"/>
      <c r="J66" s="5" t="n"/>
      <c r="K66" s="6" t="n"/>
      <c r="L66" s="6" t="n"/>
      <c r="M66" s="6" t="n"/>
      <c r="N66" s="5" t="n"/>
      <c r="O66" s="21" t="n"/>
      <c r="P66" s="5" t="n"/>
      <c r="Q66" s="5" t="n"/>
      <c r="R66" s="6" t="n"/>
      <c r="S66" s="4" t="n"/>
      <c r="T66" s="4" t="n"/>
      <c r="U66" s="3">
        <f>IF(C66="","",IF(T66="",TODAY()-C66,T66-C66))</f>
        <v/>
      </c>
      <c r="V66" s="5" t="n"/>
      <c r="W66" s="6" t="n"/>
      <c r="X66" s="3">
        <f>IF(P66="","",IFERROR(VLOOKUP(P66,Parâmetros!$J$2:$K$5,2,FALSE),""))</f>
        <v/>
      </c>
      <c r="Y66" s="4">
        <f>IF(OR(C66="",X66=""),"",C66+X66)</f>
        <v/>
      </c>
      <c r="Z66" s="5">
        <f>IF(C66="","",IF(Q66="Concluído","Concluído",IF(Y66&lt;TODAY(),"Vencido",IF(Y66-TODAY()&lt;=2,"A vencer","No prazo"))))</f>
        <v/>
      </c>
      <c r="AA66" s="3">
        <f>IF(OR(Y66="",Q66="Concluído"),"",Y66-TODAY())</f>
        <v/>
      </c>
      <c r="AB66" s="5" t="n"/>
      <c r="AC66" s="5" t="n"/>
      <c r="AD66" s="4" t="n"/>
    </row>
    <row r="67">
      <c r="A67" s="3">
        <f>IF(C67="","",ROW()-1)</f>
        <v/>
      </c>
      <c r="B67" s="4" t="n"/>
      <c r="C67" s="4" t="n"/>
      <c r="D67" s="5" t="n"/>
      <c r="E67" s="5" t="n"/>
      <c r="F67" s="5" t="n"/>
      <c r="G67" s="5" t="n"/>
      <c r="H67" s="5" t="n"/>
      <c r="I67" s="5" t="n"/>
      <c r="J67" s="5" t="n"/>
      <c r="K67" s="6" t="n"/>
      <c r="L67" s="6" t="n"/>
      <c r="M67" s="6" t="n"/>
      <c r="N67" s="5" t="n"/>
      <c r="O67" s="21" t="n"/>
      <c r="P67" s="5" t="n"/>
      <c r="Q67" s="5" t="n"/>
      <c r="R67" s="6" t="n"/>
      <c r="S67" s="4" t="n"/>
      <c r="T67" s="4" t="n"/>
      <c r="U67" s="3">
        <f>IF(C67="","",IF(T67="",TODAY()-C67,T67-C67))</f>
        <v/>
      </c>
      <c r="V67" s="5" t="n"/>
      <c r="W67" s="6" t="n"/>
      <c r="X67" s="3">
        <f>IF(P67="","",IFERROR(VLOOKUP(P67,Parâmetros!$J$2:$K$5,2,FALSE),""))</f>
        <v/>
      </c>
      <c r="Y67" s="4">
        <f>IF(OR(C67="",X67=""),"",C67+X67)</f>
        <v/>
      </c>
      <c r="Z67" s="5">
        <f>IF(C67="","",IF(Q67="Concluído","Concluído",IF(Y67&lt;TODAY(),"Vencido",IF(Y67-TODAY()&lt;=2,"A vencer","No prazo"))))</f>
        <v/>
      </c>
      <c r="AA67" s="3">
        <f>IF(OR(Y67="",Q67="Concluído"),"",Y67-TODAY())</f>
        <v/>
      </c>
      <c r="AB67" s="5" t="n"/>
      <c r="AC67" s="5" t="n"/>
      <c r="AD67" s="4" t="n"/>
    </row>
    <row r="68">
      <c r="A68" s="3">
        <f>IF(C68="","",ROW()-1)</f>
        <v/>
      </c>
      <c r="B68" s="4" t="n"/>
      <c r="C68" s="4" t="n"/>
      <c r="D68" s="5" t="n"/>
      <c r="E68" s="5" t="n"/>
      <c r="F68" s="5" t="n"/>
      <c r="G68" s="5" t="n"/>
      <c r="H68" s="5" t="n"/>
      <c r="I68" s="5" t="n"/>
      <c r="J68" s="5" t="n"/>
      <c r="K68" s="6" t="n"/>
      <c r="L68" s="6" t="n"/>
      <c r="M68" s="6" t="n"/>
      <c r="N68" s="5" t="n"/>
      <c r="O68" s="21" t="n"/>
      <c r="P68" s="5" t="n"/>
      <c r="Q68" s="5" t="n"/>
      <c r="R68" s="6" t="n"/>
      <c r="S68" s="4" t="n"/>
      <c r="T68" s="4" t="n"/>
      <c r="U68" s="3">
        <f>IF(C68="","",IF(T68="",TODAY()-C68,T68-C68))</f>
        <v/>
      </c>
      <c r="V68" s="5" t="n"/>
      <c r="W68" s="6" t="n"/>
      <c r="X68" s="3">
        <f>IF(P68="","",IFERROR(VLOOKUP(P68,Parâmetros!$J$2:$K$5,2,FALSE),""))</f>
        <v/>
      </c>
      <c r="Y68" s="4">
        <f>IF(OR(C68="",X68=""),"",C68+X68)</f>
        <v/>
      </c>
      <c r="Z68" s="5">
        <f>IF(C68="","",IF(Q68="Concluído","Concluído",IF(Y68&lt;TODAY(),"Vencido",IF(Y68-TODAY()&lt;=2,"A vencer","No prazo"))))</f>
        <v/>
      </c>
      <c r="AA68" s="3">
        <f>IF(OR(Y68="",Q68="Concluído"),"",Y68-TODAY())</f>
        <v/>
      </c>
      <c r="AB68" s="5" t="n"/>
      <c r="AC68" s="5" t="n"/>
      <c r="AD68" s="4" t="n"/>
    </row>
    <row r="69">
      <c r="A69" s="3">
        <f>IF(C69="","",ROW()-1)</f>
        <v/>
      </c>
      <c r="B69" s="4" t="n"/>
      <c r="C69" s="4" t="n"/>
      <c r="D69" s="5" t="n"/>
      <c r="E69" s="5" t="n"/>
      <c r="F69" s="5" t="n"/>
      <c r="G69" s="5" t="n"/>
      <c r="H69" s="5" t="n"/>
      <c r="I69" s="5" t="n"/>
      <c r="J69" s="5" t="n"/>
      <c r="K69" s="6" t="n"/>
      <c r="L69" s="6" t="n"/>
      <c r="M69" s="6" t="n"/>
      <c r="N69" s="5" t="n"/>
      <c r="O69" s="21" t="n"/>
      <c r="P69" s="5" t="n"/>
      <c r="Q69" s="5" t="n"/>
      <c r="R69" s="6" t="n"/>
      <c r="S69" s="4" t="n"/>
      <c r="T69" s="4" t="n"/>
      <c r="U69" s="3">
        <f>IF(C69="","",IF(T69="",TODAY()-C69,T69-C69))</f>
        <v/>
      </c>
      <c r="V69" s="5" t="n"/>
      <c r="W69" s="6" t="n"/>
      <c r="X69" s="3">
        <f>IF(P69="","",IFERROR(VLOOKUP(P69,Parâmetros!$J$2:$K$5,2,FALSE),""))</f>
        <v/>
      </c>
      <c r="Y69" s="4">
        <f>IF(OR(C69="",X69=""),"",C69+X69)</f>
        <v/>
      </c>
      <c r="Z69" s="5">
        <f>IF(C69="","",IF(Q69="Concluído","Concluído",IF(Y69&lt;TODAY(),"Vencido",IF(Y69-TODAY()&lt;=2,"A vencer","No prazo"))))</f>
        <v/>
      </c>
      <c r="AA69" s="3">
        <f>IF(OR(Y69="",Q69="Concluído"),"",Y69-TODAY())</f>
        <v/>
      </c>
      <c r="AB69" s="5" t="n"/>
      <c r="AC69" s="5" t="n"/>
      <c r="AD69" s="4" t="n"/>
    </row>
    <row r="70">
      <c r="A70" s="3">
        <f>IF(C70="","",ROW()-1)</f>
        <v/>
      </c>
      <c r="B70" s="4" t="n"/>
      <c r="C70" s="4" t="n"/>
      <c r="D70" s="5" t="n"/>
      <c r="E70" s="5" t="n"/>
      <c r="F70" s="5" t="n"/>
      <c r="G70" s="5" t="n"/>
      <c r="H70" s="5" t="n"/>
      <c r="I70" s="5" t="n"/>
      <c r="J70" s="5" t="n"/>
      <c r="K70" s="6" t="n"/>
      <c r="L70" s="6" t="n"/>
      <c r="M70" s="6" t="n"/>
      <c r="N70" s="5" t="n"/>
      <c r="O70" s="21" t="n"/>
      <c r="P70" s="5" t="n"/>
      <c r="Q70" s="5" t="n"/>
      <c r="R70" s="6" t="n"/>
      <c r="S70" s="4" t="n"/>
      <c r="T70" s="4" t="n"/>
      <c r="U70" s="3">
        <f>IF(C70="","",IF(T70="",TODAY()-C70,T70-C70))</f>
        <v/>
      </c>
      <c r="V70" s="5" t="n"/>
      <c r="W70" s="6" t="n"/>
      <c r="X70" s="3">
        <f>IF(P70="","",IFERROR(VLOOKUP(P70,Parâmetros!$J$2:$K$5,2,FALSE),""))</f>
        <v/>
      </c>
      <c r="Y70" s="4">
        <f>IF(OR(C70="",X70=""),"",C70+X70)</f>
        <v/>
      </c>
      <c r="Z70" s="5">
        <f>IF(C70="","",IF(Q70="Concluído","Concluído",IF(Y70&lt;TODAY(),"Vencido",IF(Y70-TODAY()&lt;=2,"A vencer","No prazo"))))</f>
        <v/>
      </c>
      <c r="AA70" s="3">
        <f>IF(OR(Y70="",Q70="Concluído"),"",Y70-TODAY())</f>
        <v/>
      </c>
      <c r="AB70" s="5" t="n"/>
      <c r="AC70" s="5" t="n"/>
      <c r="AD70" s="4" t="n"/>
    </row>
    <row r="71">
      <c r="A71" s="3">
        <f>IF(C71="","",ROW()-1)</f>
        <v/>
      </c>
      <c r="B71" s="4" t="n"/>
      <c r="C71" s="4" t="n"/>
      <c r="D71" s="5" t="n"/>
      <c r="E71" s="5" t="n"/>
      <c r="F71" s="5" t="n"/>
      <c r="G71" s="5" t="n"/>
      <c r="H71" s="5" t="n"/>
      <c r="I71" s="5" t="n"/>
      <c r="J71" s="5" t="n"/>
      <c r="K71" s="6" t="n"/>
      <c r="L71" s="6" t="n"/>
      <c r="M71" s="6" t="n"/>
      <c r="N71" s="5" t="n"/>
      <c r="O71" s="21" t="n"/>
      <c r="P71" s="5" t="n"/>
      <c r="Q71" s="5" t="n"/>
      <c r="R71" s="6" t="n"/>
      <c r="S71" s="4" t="n"/>
      <c r="T71" s="4" t="n"/>
      <c r="U71" s="3">
        <f>IF(C71="","",IF(T71="",TODAY()-C71,T71-C71))</f>
        <v/>
      </c>
      <c r="V71" s="5" t="n"/>
      <c r="W71" s="6" t="n"/>
      <c r="X71" s="3">
        <f>IF(P71="","",IFERROR(VLOOKUP(P71,Parâmetros!$J$2:$K$5,2,FALSE),""))</f>
        <v/>
      </c>
      <c r="Y71" s="4">
        <f>IF(OR(C71="",X71=""),"",C71+X71)</f>
        <v/>
      </c>
      <c r="Z71" s="5">
        <f>IF(C71="","",IF(Q71="Concluído","Concluído",IF(Y71&lt;TODAY(),"Vencido",IF(Y71-TODAY()&lt;=2,"A vencer","No prazo"))))</f>
        <v/>
      </c>
      <c r="AA71" s="3">
        <f>IF(OR(Y71="",Q71="Concluído"),"",Y71-TODAY())</f>
        <v/>
      </c>
      <c r="AB71" s="5" t="n"/>
      <c r="AC71" s="5" t="n"/>
      <c r="AD71" s="4" t="n"/>
    </row>
    <row r="72">
      <c r="A72" s="3">
        <f>IF(C72="","",ROW()-1)</f>
        <v/>
      </c>
      <c r="B72" s="4" t="n"/>
      <c r="C72" s="4" t="n"/>
      <c r="D72" s="5" t="n"/>
      <c r="E72" s="5" t="n"/>
      <c r="F72" s="5" t="n"/>
      <c r="G72" s="5" t="n"/>
      <c r="H72" s="5" t="n"/>
      <c r="I72" s="5" t="n"/>
      <c r="J72" s="5" t="n"/>
      <c r="K72" s="6" t="n"/>
      <c r="L72" s="6" t="n"/>
      <c r="M72" s="6" t="n"/>
      <c r="N72" s="5" t="n"/>
      <c r="O72" s="21" t="n"/>
      <c r="P72" s="5" t="n"/>
      <c r="Q72" s="5" t="n"/>
      <c r="R72" s="6" t="n"/>
      <c r="S72" s="4" t="n"/>
      <c r="T72" s="4" t="n"/>
      <c r="U72" s="3">
        <f>IF(C72="","",IF(T72="",TODAY()-C72,T72-C72))</f>
        <v/>
      </c>
      <c r="V72" s="5" t="n"/>
      <c r="W72" s="6" t="n"/>
      <c r="X72" s="3">
        <f>IF(P72="","",IFERROR(VLOOKUP(P72,Parâmetros!$J$2:$K$5,2,FALSE),""))</f>
        <v/>
      </c>
      <c r="Y72" s="4">
        <f>IF(OR(C72="",X72=""),"",C72+X72)</f>
        <v/>
      </c>
      <c r="Z72" s="5">
        <f>IF(C72="","",IF(Q72="Concluído","Concluído",IF(Y72&lt;TODAY(),"Vencido",IF(Y72-TODAY()&lt;=2,"A vencer","No prazo"))))</f>
        <v/>
      </c>
      <c r="AA72" s="3">
        <f>IF(OR(Y72="",Q72="Concluído"),"",Y72-TODAY())</f>
        <v/>
      </c>
      <c r="AB72" s="5" t="n"/>
      <c r="AC72" s="5" t="n"/>
      <c r="AD72" s="4" t="n"/>
    </row>
    <row r="73">
      <c r="A73" s="3">
        <f>IF(C73="","",ROW()-1)</f>
        <v/>
      </c>
      <c r="B73" s="4" t="n"/>
      <c r="C73" s="4" t="n"/>
      <c r="D73" s="5" t="n"/>
      <c r="E73" s="5" t="n"/>
      <c r="F73" s="5" t="n"/>
      <c r="G73" s="5" t="n"/>
      <c r="H73" s="5" t="n"/>
      <c r="I73" s="5" t="n"/>
      <c r="J73" s="5" t="n"/>
      <c r="K73" s="6" t="n"/>
      <c r="L73" s="6" t="n"/>
      <c r="M73" s="6" t="n"/>
      <c r="N73" s="5" t="n"/>
      <c r="O73" s="21" t="n"/>
      <c r="P73" s="5" t="n"/>
      <c r="Q73" s="5" t="n"/>
      <c r="R73" s="6" t="n"/>
      <c r="S73" s="4" t="n"/>
      <c r="T73" s="4" t="n"/>
      <c r="U73" s="3">
        <f>IF(C73="","",IF(T73="",TODAY()-C73,T73-C73))</f>
        <v/>
      </c>
      <c r="V73" s="5" t="n"/>
      <c r="W73" s="6" t="n"/>
      <c r="X73" s="3">
        <f>IF(P73="","",IFERROR(VLOOKUP(P73,Parâmetros!$J$2:$K$5,2,FALSE),""))</f>
        <v/>
      </c>
      <c r="Y73" s="4">
        <f>IF(OR(C73="",X73=""),"",C73+X73)</f>
        <v/>
      </c>
      <c r="Z73" s="5">
        <f>IF(C73="","",IF(Q73="Concluído","Concluído",IF(Y73&lt;TODAY(),"Vencido",IF(Y73-TODAY()&lt;=2,"A vencer","No prazo"))))</f>
        <v/>
      </c>
      <c r="AA73" s="3">
        <f>IF(OR(Y73="",Q73="Concluído"),"",Y73-TODAY())</f>
        <v/>
      </c>
      <c r="AB73" s="5" t="n"/>
      <c r="AC73" s="5" t="n"/>
      <c r="AD73" s="4" t="n"/>
    </row>
    <row r="74">
      <c r="A74" s="3">
        <f>IF(C74="","",ROW()-1)</f>
        <v/>
      </c>
      <c r="B74" s="4" t="n"/>
      <c r="C74" s="4" t="n"/>
      <c r="D74" s="5" t="n"/>
      <c r="E74" s="5" t="n"/>
      <c r="F74" s="5" t="n"/>
      <c r="G74" s="5" t="n"/>
      <c r="H74" s="5" t="n"/>
      <c r="I74" s="5" t="n"/>
      <c r="J74" s="5" t="n"/>
      <c r="K74" s="6" t="n"/>
      <c r="L74" s="6" t="n"/>
      <c r="M74" s="6" t="n"/>
      <c r="N74" s="5" t="n"/>
      <c r="O74" s="21" t="n"/>
      <c r="P74" s="5" t="n"/>
      <c r="Q74" s="5" t="n"/>
      <c r="R74" s="6" t="n"/>
      <c r="S74" s="4" t="n"/>
      <c r="T74" s="4" t="n"/>
      <c r="U74" s="3">
        <f>IF(C74="","",IF(T74="",TODAY()-C74,T74-C74))</f>
        <v/>
      </c>
      <c r="V74" s="5" t="n"/>
      <c r="W74" s="6" t="n"/>
      <c r="X74" s="3">
        <f>IF(P74="","",IFERROR(VLOOKUP(P74,Parâmetros!$J$2:$K$5,2,FALSE),""))</f>
        <v/>
      </c>
      <c r="Y74" s="4">
        <f>IF(OR(C74="",X74=""),"",C74+X74)</f>
        <v/>
      </c>
      <c r="Z74" s="5">
        <f>IF(C74="","",IF(Q74="Concluído","Concluído",IF(Y74&lt;TODAY(),"Vencido",IF(Y74-TODAY()&lt;=2,"A vencer","No prazo"))))</f>
        <v/>
      </c>
      <c r="AA74" s="3">
        <f>IF(OR(Y74="",Q74="Concluído"),"",Y74-TODAY())</f>
        <v/>
      </c>
      <c r="AB74" s="5" t="n"/>
      <c r="AC74" s="5" t="n"/>
      <c r="AD74" s="4" t="n"/>
    </row>
    <row r="75">
      <c r="A75" s="3">
        <f>IF(C75="","",ROW()-1)</f>
        <v/>
      </c>
      <c r="B75" s="4" t="n"/>
      <c r="C75" s="4" t="n"/>
      <c r="D75" s="5" t="n"/>
      <c r="E75" s="5" t="n"/>
      <c r="F75" s="5" t="n"/>
      <c r="G75" s="5" t="n"/>
      <c r="H75" s="5" t="n"/>
      <c r="I75" s="5" t="n"/>
      <c r="J75" s="5" t="n"/>
      <c r="K75" s="6" t="n"/>
      <c r="L75" s="6" t="n"/>
      <c r="M75" s="6" t="n"/>
      <c r="N75" s="5" t="n"/>
      <c r="O75" s="21" t="n"/>
      <c r="P75" s="5" t="n"/>
      <c r="Q75" s="5" t="n"/>
      <c r="R75" s="6" t="n"/>
      <c r="S75" s="4" t="n"/>
      <c r="T75" s="4" t="n"/>
      <c r="U75" s="3">
        <f>IF(C75="","",IF(T75="",TODAY()-C75,T75-C75))</f>
        <v/>
      </c>
      <c r="V75" s="5" t="n"/>
      <c r="W75" s="6" t="n"/>
      <c r="X75" s="3">
        <f>IF(P75="","",IFERROR(VLOOKUP(P75,Parâmetros!$J$2:$K$5,2,FALSE),""))</f>
        <v/>
      </c>
      <c r="Y75" s="4">
        <f>IF(OR(C75="",X75=""),"",C75+X75)</f>
        <v/>
      </c>
      <c r="Z75" s="5">
        <f>IF(C75="","",IF(Q75="Concluído","Concluído",IF(Y75&lt;TODAY(),"Vencido",IF(Y75-TODAY()&lt;=2,"A vencer","No prazo"))))</f>
        <v/>
      </c>
      <c r="AA75" s="3">
        <f>IF(OR(Y75="",Q75="Concluído"),"",Y75-TODAY())</f>
        <v/>
      </c>
      <c r="AB75" s="5" t="n"/>
      <c r="AC75" s="5" t="n"/>
      <c r="AD75" s="4" t="n"/>
    </row>
    <row r="76">
      <c r="A76" s="3">
        <f>IF(C76="","",ROW()-1)</f>
        <v/>
      </c>
      <c r="B76" s="4" t="n"/>
      <c r="C76" s="4" t="n"/>
      <c r="D76" s="5" t="n"/>
      <c r="E76" s="5" t="n"/>
      <c r="F76" s="5" t="n"/>
      <c r="G76" s="5" t="n"/>
      <c r="H76" s="5" t="n"/>
      <c r="I76" s="5" t="n"/>
      <c r="J76" s="5" t="n"/>
      <c r="K76" s="6" t="n"/>
      <c r="L76" s="6" t="n"/>
      <c r="M76" s="6" t="n"/>
      <c r="N76" s="5" t="n"/>
      <c r="O76" s="21" t="n"/>
      <c r="P76" s="5" t="n"/>
      <c r="Q76" s="5" t="n"/>
      <c r="R76" s="6" t="n"/>
      <c r="S76" s="4" t="n"/>
      <c r="T76" s="4" t="n"/>
      <c r="U76" s="3">
        <f>IF(C76="","",IF(T76="",TODAY()-C76,T76-C76))</f>
        <v/>
      </c>
      <c r="V76" s="5" t="n"/>
      <c r="W76" s="6" t="n"/>
      <c r="X76" s="3">
        <f>IF(P76="","",IFERROR(VLOOKUP(P76,Parâmetros!$J$2:$K$5,2,FALSE),""))</f>
        <v/>
      </c>
      <c r="Y76" s="4">
        <f>IF(OR(C76="",X76=""),"",C76+X76)</f>
        <v/>
      </c>
      <c r="Z76" s="5">
        <f>IF(C76="","",IF(Q76="Concluído","Concluído",IF(Y76&lt;TODAY(),"Vencido",IF(Y76-TODAY()&lt;=2,"A vencer","No prazo"))))</f>
        <v/>
      </c>
      <c r="AA76" s="3">
        <f>IF(OR(Y76="",Q76="Concluído"),"",Y76-TODAY())</f>
        <v/>
      </c>
      <c r="AB76" s="5" t="n"/>
      <c r="AC76" s="5" t="n"/>
      <c r="AD76" s="4" t="n"/>
    </row>
    <row r="77">
      <c r="A77" s="3">
        <f>IF(C77="","",ROW()-1)</f>
        <v/>
      </c>
      <c r="B77" s="4" t="n"/>
      <c r="C77" s="4" t="n"/>
      <c r="D77" s="5" t="n"/>
      <c r="E77" s="5" t="n"/>
      <c r="F77" s="5" t="n"/>
      <c r="G77" s="5" t="n"/>
      <c r="H77" s="5" t="n"/>
      <c r="I77" s="5" t="n"/>
      <c r="J77" s="5" t="n"/>
      <c r="K77" s="6" t="n"/>
      <c r="L77" s="6" t="n"/>
      <c r="M77" s="6" t="n"/>
      <c r="N77" s="5" t="n"/>
      <c r="O77" s="21" t="n"/>
      <c r="P77" s="5" t="n"/>
      <c r="Q77" s="5" t="n"/>
      <c r="R77" s="6" t="n"/>
      <c r="S77" s="4" t="n"/>
      <c r="T77" s="4" t="n"/>
      <c r="U77" s="3">
        <f>IF(C77="","",IF(T77="",TODAY()-C77,T77-C77))</f>
        <v/>
      </c>
      <c r="V77" s="5" t="n"/>
      <c r="W77" s="6" t="n"/>
      <c r="X77" s="3">
        <f>IF(P77="","",IFERROR(VLOOKUP(P77,Parâmetros!$J$2:$K$5,2,FALSE),""))</f>
        <v/>
      </c>
      <c r="Y77" s="4">
        <f>IF(OR(C77="",X77=""),"",C77+X77)</f>
        <v/>
      </c>
      <c r="Z77" s="5">
        <f>IF(C77="","",IF(Q77="Concluído","Concluído",IF(Y77&lt;TODAY(),"Vencido",IF(Y77-TODAY()&lt;=2,"A vencer","No prazo"))))</f>
        <v/>
      </c>
      <c r="AA77" s="3">
        <f>IF(OR(Y77="",Q77="Concluído"),"",Y77-TODAY())</f>
        <v/>
      </c>
      <c r="AB77" s="5" t="n"/>
      <c r="AC77" s="5" t="n"/>
      <c r="AD77" s="4" t="n"/>
    </row>
    <row r="78">
      <c r="A78" s="3">
        <f>IF(C78="","",ROW()-1)</f>
        <v/>
      </c>
      <c r="B78" s="4" t="n"/>
      <c r="C78" s="4" t="n"/>
      <c r="D78" s="5" t="n"/>
      <c r="E78" s="5" t="n"/>
      <c r="F78" s="5" t="n"/>
      <c r="G78" s="5" t="n"/>
      <c r="H78" s="5" t="n"/>
      <c r="I78" s="5" t="n"/>
      <c r="J78" s="5" t="n"/>
      <c r="K78" s="6" t="n"/>
      <c r="L78" s="6" t="n"/>
      <c r="M78" s="6" t="n"/>
      <c r="N78" s="5" t="n"/>
      <c r="O78" s="21" t="n"/>
      <c r="P78" s="5" t="n"/>
      <c r="Q78" s="5" t="n"/>
      <c r="R78" s="6" t="n"/>
      <c r="S78" s="4" t="n"/>
      <c r="T78" s="4" t="n"/>
      <c r="U78" s="3">
        <f>IF(C78="","",IF(T78="",TODAY()-C78,T78-C78))</f>
        <v/>
      </c>
      <c r="V78" s="5" t="n"/>
      <c r="W78" s="6" t="n"/>
      <c r="X78" s="3">
        <f>IF(P78="","",IFERROR(VLOOKUP(P78,Parâmetros!$J$2:$K$5,2,FALSE),""))</f>
        <v/>
      </c>
      <c r="Y78" s="4">
        <f>IF(OR(C78="",X78=""),"",C78+X78)</f>
        <v/>
      </c>
      <c r="Z78" s="5">
        <f>IF(C78="","",IF(Q78="Concluído","Concluído",IF(Y78&lt;TODAY(),"Vencido",IF(Y78-TODAY()&lt;=2,"A vencer","No prazo"))))</f>
        <v/>
      </c>
      <c r="AA78" s="3">
        <f>IF(OR(Y78="",Q78="Concluído"),"",Y78-TODAY())</f>
        <v/>
      </c>
      <c r="AB78" s="5" t="n"/>
      <c r="AC78" s="5" t="n"/>
      <c r="AD78" s="4" t="n"/>
    </row>
    <row r="79">
      <c r="A79" s="3">
        <f>IF(C79="","",ROW()-1)</f>
        <v/>
      </c>
      <c r="B79" s="4" t="n"/>
      <c r="C79" s="4" t="n"/>
      <c r="D79" s="5" t="n"/>
      <c r="E79" s="5" t="n"/>
      <c r="F79" s="5" t="n"/>
      <c r="G79" s="5" t="n"/>
      <c r="H79" s="5" t="n"/>
      <c r="I79" s="5" t="n"/>
      <c r="J79" s="5" t="n"/>
      <c r="K79" s="6" t="n"/>
      <c r="L79" s="6" t="n"/>
      <c r="M79" s="6" t="n"/>
      <c r="N79" s="5" t="n"/>
      <c r="O79" s="21" t="n"/>
      <c r="P79" s="5" t="n"/>
      <c r="Q79" s="5" t="n"/>
      <c r="R79" s="6" t="n"/>
      <c r="S79" s="4" t="n"/>
      <c r="T79" s="4" t="n"/>
      <c r="U79" s="3">
        <f>IF(C79="","",IF(T79="",TODAY()-C79,T79-C79))</f>
        <v/>
      </c>
      <c r="V79" s="5" t="n"/>
      <c r="W79" s="6" t="n"/>
      <c r="X79" s="3">
        <f>IF(P79="","",IFERROR(VLOOKUP(P79,Parâmetros!$J$2:$K$5,2,FALSE),""))</f>
        <v/>
      </c>
      <c r="Y79" s="4">
        <f>IF(OR(C79="",X79=""),"",C79+X79)</f>
        <v/>
      </c>
      <c r="Z79" s="5">
        <f>IF(C79="","",IF(Q79="Concluído","Concluído",IF(Y79&lt;TODAY(),"Vencido",IF(Y79-TODAY()&lt;=2,"A vencer","No prazo"))))</f>
        <v/>
      </c>
      <c r="AA79" s="3">
        <f>IF(OR(Y79="",Q79="Concluído"),"",Y79-TODAY())</f>
        <v/>
      </c>
      <c r="AB79" s="5" t="n"/>
      <c r="AC79" s="5" t="n"/>
      <c r="AD79" s="4" t="n"/>
    </row>
    <row r="80">
      <c r="A80" s="3">
        <f>IF(C80="","",ROW()-1)</f>
        <v/>
      </c>
      <c r="B80" s="4" t="n"/>
      <c r="C80" s="4" t="n"/>
      <c r="D80" s="5" t="n"/>
      <c r="E80" s="5" t="n"/>
      <c r="F80" s="5" t="n"/>
      <c r="G80" s="5" t="n"/>
      <c r="H80" s="5" t="n"/>
      <c r="I80" s="5" t="n"/>
      <c r="J80" s="5" t="n"/>
      <c r="K80" s="6" t="n"/>
      <c r="L80" s="6" t="n"/>
      <c r="M80" s="6" t="n"/>
      <c r="N80" s="5" t="n"/>
      <c r="O80" s="21" t="n"/>
      <c r="P80" s="5" t="n"/>
      <c r="Q80" s="5" t="n"/>
      <c r="R80" s="6" t="n"/>
      <c r="S80" s="4" t="n"/>
      <c r="T80" s="4" t="n"/>
      <c r="U80" s="3">
        <f>IF(C80="","",IF(T80="",TODAY()-C80,T80-C80))</f>
        <v/>
      </c>
      <c r="V80" s="5" t="n"/>
      <c r="W80" s="6" t="n"/>
      <c r="X80" s="3">
        <f>IF(P80="","",IFERROR(VLOOKUP(P80,Parâmetros!$J$2:$K$5,2,FALSE),""))</f>
        <v/>
      </c>
      <c r="Y80" s="4">
        <f>IF(OR(C80="",X80=""),"",C80+X80)</f>
        <v/>
      </c>
      <c r="Z80" s="5">
        <f>IF(C80="","",IF(Q80="Concluído","Concluído",IF(Y80&lt;TODAY(),"Vencido",IF(Y80-TODAY()&lt;=2,"A vencer","No prazo"))))</f>
        <v/>
      </c>
      <c r="AA80" s="3">
        <f>IF(OR(Y80="",Q80="Concluído"),"",Y80-TODAY())</f>
        <v/>
      </c>
      <c r="AB80" s="5" t="n"/>
      <c r="AC80" s="5" t="n"/>
      <c r="AD80" s="4" t="n"/>
    </row>
    <row r="81">
      <c r="A81" s="3">
        <f>IF(C81="","",ROW()-1)</f>
        <v/>
      </c>
      <c r="B81" s="4" t="n"/>
      <c r="C81" s="4" t="n"/>
      <c r="D81" s="5" t="n"/>
      <c r="E81" s="5" t="n"/>
      <c r="F81" s="5" t="n"/>
      <c r="G81" s="5" t="n"/>
      <c r="H81" s="5" t="n"/>
      <c r="I81" s="5" t="n"/>
      <c r="J81" s="5" t="n"/>
      <c r="K81" s="6" t="n"/>
      <c r="L81" s="6" t="n"/>
      <c r="M81" s="6" t="n"/>
      <c r="N81" s="5" t="n"/>
      <c r="O81" s="21" t="n"/>
      <c r="P81" s="5" t="n"/>
      <c r="Q81" s="5" t="n"/>
      <c r="R81" s="6" t="n"/>
      <c r="S81" s="4" t="n"/>
      <c r="T81" s="4" t="n"/>
      <c r="U81" s="3">
        <f>IF(C81="","",IF(T81="",TODAY()-C81,T81-C81))</f>
        <v/>
      </c>
      <c r="V81" s="5" t="n"/>
      <c r="W81" s="6" t="n"/>
      <c r="X81" s="3">
        <f>IF(P81="","",IFERROR(VLOOKUP(P81,Parâmetros!$J$2:$K$5,2,FALSE),""))</f>
        <v/>
      </c>
      <c r="Y81" s="4">
        <f>IF(OR(C81="",X81=""),"",C81+X81)</f>
        <v/>
      </c>
      <c r="Z81" s="5">
        <f>IF(C81="","",IF(Q81="Concluído","Concluído",IF(Y81&lt;TODAY(),"Vencido",IF(Y81-TODAY()&lt;=2,"A vencer","No prazo"))))</f>
        <v/>
      </c>
      <c r="AA81" s="3">
        <f>IF(OR(Y81="",Q81="Concluído"),"",Y81-TODAY())</f>
        <v/>
      </c>
      <c r="AB81" s="5" t="n"/>
      <c r="AC81" s="5" t="n"/>
      <c r="AD81" s="4" t="n"/>
    </row>
    <row r="82">
      <c r="A82" s="3">
        <f>IF(C82="","",ROW()-1)</f>
        <v/>
      </c>
      <c r="B82" s="4" t="n"/>
      <c r="C82" s="4" t="n"/>
      <c r="D82" s="5" t="n"/>
      <c r="E82" s="5" t="n"/>
      <c r="F82" s="5" t="n"/>
      <c r="G82" s="5" t="n"/>
      <c r="H82" s="5" t="n"/>
      <c r="I82" s="5" t="n"/>
      <c r="J82" s="5" t="n"/>
      <c r="K82" s="6" t="n"/>
      <c r="L82" s="6" t="n"/>
      <c r="M82" s="6" t="n"/>
      <c r="N82" s="5" t="n"/>
      <c r="O82" s="21" t="n"/>
      <c r="P82" s="5" t="n"/>
      <c r="Q82" s="5" t="n"/>
      <c r="R82" s="6" t="n"/>
      <c r="S82" s="4" t="n"/>
      <c r="T82" s="4" t="n"/>
      <c r="U82" s="3">
        <f>IF(C82="","",IF(T82="",TODAY()-C82,T82-C82))</f>
        <v/>
      </c>
      <c r="V82" s="5" t="n"/>
      <c r="W82" s="6" t="n"/>
      <c r="X82" s="3">
        <f>IF(P82="","",IFERROR(VLOOKUP(P82,Parâmetros!$J$2:$K$5,2,FALSE),""))</f>
        <v/>
      </c>
      <c r="Y82" s="4">
        <f>IF(OR(C82="",X82=""),"",C82+X82)</f>
        <v/>
      </c>
      <c r="Z82" s="5">
        <f>IF(C82="","",IF(Q82="Concluído","Concluído",IF(Y82&lt;TODAY(),"Vencido",IF(Y82-TODAY()&lt;=2,"A vencer","No prazo"))))</f>
        <v/>
      </c>
      <c r="AA82" s="3">
        <f>IF(OR(Y82="",Q82="Concluído"),"",Y82-TODAY())</f>
        <v/>
      </c>
      <c r="AB82" s="5" t="n"/>
      <c r="AC82" s="5" t="n"/>
      <c r="AD82" s="4" t="n"/>
    </row>
    <row r="83">
      <c r="A83" s="3">
        <f>IF(C83="","",ROW()-1)</f>
        <v/>
      </c>
      <c r="B83" s="4" t="n"/>
      <c r="C83" s="4" t="n"/>
      <c r="D83" s="5" t="n"/>
      <c r="E83" s="5" t="n"/>
      <c r="F83" s="5" t="n"/>
      <c r="G83" s="5" t="n"/>
      <c r="H83" s="5" t="n"/>
      <c r="I83" s="5" t="n"/>
      <c r="J83" s="5" t="n"/>
      <c r="K83" s="6" t="n"/>
      <c r="L83" s="6" t="n"/>
      <c r="M83" s="6" t="n"/>
      <c r="N83" s="5" t="n"/>
      <c r="O83" s="21" t="n"/>
      <c r="P83" s="5" t="n"/>
      <c r="Q83" s="5" t="n"/>
      <c r="R83" s="6" t="n"/>
      <c r="S83" s="4" t="n"/>
      <c r="T83" s="4" t="n"/>
      <c r="U83" s="3">
        <f>IF(C83="","",IF(T83="",TODAY()-C83,T83-C83))</f>
        <v/>
      </c>
      <c r="V83" s="5" t="n"/>
      <c r="W83" s="6" t="n"/>
      <c r="X83" s="3">
        <f>IF(P83="","",IFERROR(VLOOKUP(P83,Parâmetros!$J$2:$K$5,2,FALSE),""))</f>
        <v/>
      </c>
      <c r="Y83" s="4">
        <f>IF(OR(C83="",X83=""),"",C83+X83)</f>
        <v/>
      </c>
      <c r="Z83" s="5">
        <f>IF(C83="","",IF(Q83="Concluído","Concluído",IF(Y83&lt;TODAY(),"Vencido",IF(Y83-TODAY()&lt;=2,"A vencer","No prazo"))))</f>
        <v/>
      </c>
      <c r="AA83" s="3">
        <f>IF(OR(Y83="",Q83="Concluído"),"",Y83-TODAY())</f>
        <v/>
      </c>
      <c r="AB83" s="5" t="n"/>
      <c r="AC83" s="5" t="n"/>
      <c r="AD83" s="4" t="n"/>
    </row>
    <row r="84">
      <c r="A84" s="3">
        <f>IF(C84="","",ROW()-1)</f>
        <v/>
      </c>
      <c r="B84" s="4" t="n"/>
      <c r="C84" s="4" t="n"/>
      <c r="D84" s="5" t="n"/>
      <c r="E84" s="5" t="n"/>
      <c r="F84" s="5" t="n"/>
      <c r="G84" s="5" t="n"/>
      <c r="H84" s="5" t="n"/>
      <c r="I84" s="5" t="n"/>
      <c r="J84" s="5" t="n"/>
      <c r="K84" s="6" t="n"/>
      <c r="L84" s="6" t="n"/>
      <c r="M84" s="6" t="n"/>
      <c r="N84" s="5" t="n"/>
      <c r="O84" s="21" t="n"/>
      <c r="P84" s="5" t="n"/>
      <c r="Q84" s="5" t="n"/>
      <c r="R84" s="6" t="n"/>
      <c r="S84" s="4" t="n"/>
      <c r="T84" s="4" t="n"/>
      <c r="U84" s="3">
        <f>IF(C84="","",IF(T84="",TODAY()-C84,T84-C84))</f>
        <v/>
      </c>
      <c r="V84" s="5" t="n"/>
      <c r="W84" s="6" t="n"/>
      <c r="X84" s="3">
        <f>IF(P84="","",IFERROR(VLOOKUP(P84,Parâmetros!$J$2:$K$5,2,FALSE),""))</f>
        <v/>
      </c>
      <c r="Y84" s="4">
        <f>IF(OR(C84="",X84=""),"",C84+X84)</f>
        <v/>
      </c>
      <c r="Z84" s="5">
        <f>IF(C84="","",IF(Q84="Concluído","Concluído",IF(Y84&lt;TODAY(),"Vencido",IF(Y84-TODAY()&lt;=2,"A vencer","No prazo"))))</f>
        <v/>
      </c>
      <c r="AA84" s="3">
        <f>IF(OR(Y84="",Q84="Concluído"),"",Y84-TODAY())</f>
        <v/>
      </c>
      <c r="AB84" s="5" t="n"/>
      <c r="AC84" s="5" t="n"/>
      <c r="AD84" s="4" t="n"/>
    </row>
    <row r="85">
      <c r="A85" s="3">
        <f>IF(C85="","",ROW()-1)</f>
        <v/>
      </c>
      <c r="B85" s="4" t="n"/>
      <c r="C85" s="4" t="n"/>
      <c r="D85" s="5" t="n"/>
      <c r="E85" s="5" t="n"/>
      <c r="F85" s="5" t="n"/>
      <c r="G85" s="5" t="n"/>
      <c r="H85" s="5" t="n"/>
      <c r="I85" s="5" t="n"/>
      <c r="J85" s="5" t="n"/>
      <c r="K85" s="6" t="n"/>
      <c r="L85" s="6" t="n"/>
      <c r="M85" s="6" t="n"/>
      <c r="N85" s="5" t="n"/>
      <c r="O85" s="21" t="n"/>
      <c r="P85" s="5" t="n"/>
      <c r="Q85" s="5" t="n"/>
      <c r="R85" s="6" t="n"/>
      <c r="S85" s="4" t="n"/>
      <c r="T85" s="4" t="n"/>
      <c r="U85" s="3">
        <f>IF(C85="","",IF(T85="",TODAY()-C85,T85-C85))</f>
        <v/>
      </c>
      <c r="V85" s="5" t="n"/>
      <c r="W85" s="6" t="n"/>
      <c r="X85" s="3">
        <f>IF(P85="","",IFERROR(VLOOKUP(P85,Parâmetros!$J$2:$K$5,2,FALSE),""))</f>
        <v/>
      </c>
      <c r="Y85" s="4">
        <f>IF(OR(C85="",X85=""),"",C85+X85)</f>
        <v/>
      </c>
      <c r="Z85" s="5">
        <f>IF(C85="","",IF(Q85="Concluído","Concluído",IF(Y85&lt;TODAY(),"Vencido",IF(Y85-TODAY()&lt;=2,"A vencer","No prazo"))))</f>
        <v/>
      </c>
      <c r="AA85" s="3">
        <f>IF(OR(Y85="",Q85="Concluído"),"",Y85-TODAY())</f>
        <v/>
      </c>
      <c r="AB85" s="5" t="n"/>
      <c r="AC85" s="5" t="n"/>
      <c r="AD85" s="4" t="n"/>
    </row>
    <row r="86">
      <c r="A86" s="3">
        <f>IF(C86="","",ROW()-1)</f>
        <v/>
      </c>
      <c r="B86" s="4" t="n"/>
      <c r="C86" s="4" t="n"/>
      <c r="D86" s="5" t="n"/>
      <c r="E86" s="5" t="n"/>
      <c r="F86" s="5" t="n"/>
      <c r="G86" s="5" t="n"/>
      <c r="H86" s="5" t="n"/>
      <c r="I86" s="5" t="n"/>
      <c r="J86" s="5" t="n"/>
      <c r="K86" s="6" t="n"/>
      <c r="L86" s="6" t="n"/>
      <c r="M86" s="6" t="n"/>
      <c r="N86" s="5" t="n"/>
      <c r="O86" s="21" t="n"/>
      <c r="P86" s="5" t="n"/>
      <c r="Q86" s="5" t="n"/>
      <c r="R86" s="6" t="n"/>
      <c r="S86" s="4" t="n"/>
      <c r="T86" s="4" t="n"/>
      <c r="U86" s="3">
        <f>IF(C86="","",IF(T86="",TODAY()-C86,T86-C86))</f>
        <v/>
      </c>
      <c r="V86" s="5" t="n"/>
      <c r="W86" s="6" t="n"/>
      <c r="X86" s="3">
        <f>IF(P86="","",IFERROR(VLOOKUP(P86,Parâmetros!$J$2:$K$5,2,FALSE),""))</f>
        <v/>
      </c>
      <c r="Y86" s="4">
        <f>IF(OR(C86="",X86=""),"",C86+X86)</f>
        <v/>
      </c>
      <c r="Z86" s="5">
        <f>IF(C86="","",IF(Q86="Concluído","Concluído",IF(Y86&lt;TODAY(),"Vencido",IF(Y86-TODAY()&lt;=2,"A vencer","No prazo"))))</f>
        <v/>
      </c>
      <c r="AA86" s="3">
        <f>IF(OR(Y86="",Q86="Concluído"),"",Y86-TODAY())</f>
        <v/>
      </c>
      <c r="AB86" s="5" t="n"/>
      <c r="AC86" s="5" t="n"/>
      <c r="AD86" s="4" t="n"/>
    </row>
    <row r="87">
      <c r="A87" s="3">
        <f>IF(C87="","",ROW()-1)</f>
        <v/>
      </c>
      <c r="B87" s="4" t="n"/>
      <c r="C87" s="4" t="n"/>
      <c r="D87" s="5" t="n"/>
      <c r="E87" s="5" t="n"/>
      <c r="F87" s="5" t="n"/>
      <c r="G87" s="5" t="n"/>
      <c r="H87" s="5" t="n"/>
      <c r="I87" s="5" t="n"/>
      <c r="J87" s="5" t="n"/>
      <c r="K87" s="6" t="n"/>
      <c r="L87" s="6" t="n"/>
      <c r="M87" s="6" t="n"/>
      <c r="N87" s="5" t="n"/>
      <c r="O87" s="21" t="n"/>
      <c r="P87" s="5" t="n"/>
      <c r="Q87" s="5" t="n"/>
      <c r="R87" s="6" t="n"/>
      <c r="S87" s="4" t="n"/>
      <c r="T87" s="4" t="n"/>
      <c r="U87" s="3">
        <f>IF(C87="","",IF(T87="",TODAY()-C87,T87-C87))</f>
        <v/>
      </c>
      <c r="V87" s="5" t="n"/>
      <c r="W87" s="6" t="n"/>
      <c r="X87" s="3">
        <f>IF(P87="","",IFERROR(VLOOKUP(P87,Parâmetros!$J$2:$K$5,2,FALSE),""))</f>
        <v/>
      </c>
      <c r="Y87" s="4">
        <f>IF(OR(C87="",X87=""),"",C87+X87)</f>
        <v/>
      </c>
      <c r="Z87" s="5">
        <f>IF(C87="","",IF(Q87="Concluído","Concluído",IF(Y87&lt;TODAY(),"Vencido",IF(Y87-TODAY()&lt;=2,"A vencer","No prazo"))))</f>
        <v/>
      </c>
      <c r="AA87" s="3">
        <f>IF(OR(Y87="",Q87="Concluído"),"",Y87-TODAY())</f>
        <v/>
      </c>
      <c r="AB87" s="5" t="n"/>
      <c r="AC87" s="5" t="n"/>
      <c r="AD87" s="4" t="n"/>
    </row>
    <row r="88">
      <c r="A88" s="3">
        <f>IF(C88="","",ROW()-1)</f>
        <v/>
      </c>
      <c r="B88" s="4" t="n"/>
      <c r="C88" s="4" t="n"/>
      <c r="D88" s="5" t="n"/>
      <c r="E88" s="5" t="n"/>
      <c r="F88" s="5" t="n"/>
      <c r="G88" s="5" t="n"/>
      <c r="H88" s="5" t="n"/>
      <c r="I88" s="5" t="n"/>
      <c r="J88" s="5" t="n"/>
      <c r="K88" s="6" t="n"/>
      <c r="L88" s="6" t="n"/>
      <c r="M88" s="6" t="n"/>
      <c r="N88" s="5" t="n"/>
      <c r="O88" s="21" t="n"/>
      <c r="P88" s="5" t="n"/>
      <c r="Q88" s="5" t="n"/>
      <c r="R88" s="6" t="n"/>
      <c r="S88" s="4" t="n"/>
      <c r="T88" s="4" t="n"/>
      <c r="U88" s="3">
        <f>IF(C88="","",IF(T88="",TODAY()-C88,T88-C88))</f>
        <v/>
      </c>
      <c r="V88" s="5" t="n"/>
      <c r="W88" s="6" t="n"/>
      <c r="X88" s="3">
        <f>IF(P88="","",IFERROR(VLOOKUP(P88,Parâmetros!$J$2:$K$5,2,FALSE),""))</f>
        <v/>
      </c>
      <c r="Y88" s="4">
        <f>IF(OR(C88="",X88=""),"",C88+X88)</f>
        <v/>
      </c>
      <c r="Z88" s="5">
        <f>IF(C88="","",IF(Q88="Concluído","Concluído",IF(Y88&lt;TODAY(),"Vencido",IF(Y88-TODAY()&lt;=2,"A vencer","No prazo"))))</f>
        <v/>
      </c>
      <c r="AA88" s="3">
        <f>IF(OR(Y88="",Q88="Concluído"),"",Y88-TODAY())</f>
        <v/>
      </c>
      <c r="AB88" s="5" t="n"/>
      <c r="AC88" s="5" t="n"/>
      <c r="AD88" s="4" t="n"/>
    </row>
    <row r="89">
      <c r="A89" s="3">
        <f>IF(C89="","",ROW()-1)</f>
        <v/>
      </c>
      <c r="B89" s="4" t="n"/>
      <c r="C89" s="4" t="n"/>
      <c r="D89" s="5" t="n"/>
      <c r="E89" s="5" t="n"/>
      <c r="F89" s="5" t="n"/>
      <c r="G89" s="5" t="n"/>
      <c r="H89" s="5" t="n"/>
      <c r="I89" s="5" t="n"/>
      <c r="J89" s="5" t="n"/>
      <c r="K89" s="6" t="n"/>
      <c r="L89" s="6" t="n"/>
      <c r="M89" s="6" t="n"/>
      <c r="N89" s="5" t="n"/>
      <c r="O89" s="21" t="n"/>
      <c r="P89" s="5" t="n"/>
      <c r="Q89" s="5" t="n"/>
      <c r="R89" s="6" t="n"/>
      <c r="S89" s="4" t="n"/>
      <c r="T89" s="4" t="n"/>
      <c r="U89" s="3">
        <f>IF(C89="","",IF(T89="",TODAY()-C89,T89-C89))</f>
        <v/>
      </c>
      <c r="V89" s="5" t="n"/>
      <c r="W89" s="6" t="n"/>
      <c r="X89" s="3">
        <f>IF(P89="","",IFERROR(VLOOKUP(P89,Parâmetros!$J$2:$K$5,2,FALSE),""))</f>
        <v/>
      </c>
      <c r="Y89" s="4">
        <f>IF(OR(C89="",X89=""),"",C89+X89)</f>
        <v/>
      </c>
      <c r="Z89" s="5">
        <f>IF(C89="","",IF(Q89="Concluído","Concluído",IF(Y89&lt;TODAY(),"Vencido",IF(Y89-TODAY()&lt;=2,"A vencer","No prazo"))))</f>
        <v/>
      </c>
      <c r="AA89" s="3">
        <f>IF(OR(Y89="",Q89="Concluído"),"",Y89-TODAY())</f>
        <v/>
      </c>
      <c r="AB89" s="5" t="n"/>
      <c r="AC89" s="5" t="n"/>
      <c r="AD89" s="4" t="n"/>
    </row>
    <row r="90">
      <c r="A90" s="3">
        <f>IF(C90="","",ROW()-1)</f>
        <v/>
      </c>
      <c r="B90" s="4" t="n"/>
      <c r="C90" s="4" t="n"/>
      <c r="D90" s="5" t="n"/>
      <c r="E90" s="5" t="n"/>
      <c r="F90" s="5" t="n"/>
      <c r="G90" s="5" t="n"/>
      <c r="H90" s="5" t="n"/>
      <c r="I90" s="5" t="n"/>
      <c r="J90" s="5" t="n"/>
      <c r="K90" s="6" t="n"/>
      <c r="L90" s="6" t="n"/>
      <c r="M90" s="6" t="n"/>
      <c r="N90" s="5" t="n"/>
      <c r="O90" s="21" t="n"/>
      <c r="P90" s="5" t="n"/>
      <c r="Q90" s="5" t="n"/>
      <c r="R90" s="6" t="n"/>
      <c r="S90" s="4" t="n"/>
      <c r="T90" s="4" t="n"/>
      <c r="U90" s="3">
        <f>IF(C90="","",IF(T90="",TODAY()-C90,T90-C90))</f>
        <v/>
      </c>
      <c r="V90" s="5" t="n"/>
      <c r="W90" s="6" t="n"/>
      <c r="X90" s="3">
        <f>IF(P90="","",IFERROR(VLOOKUP(P90,Parâmetros!$J$2:$K$5,2,FALSE),""))</f>
        <v/>
      </c>
      <c r="Y90" s="4">
        <f>IF(OR(C90="",X90=""),"",C90+X90)</f>
        <v/>
      </c>
      <c r="Z90" s="5">
        <f>IF(C90="","",IF(Q90="Concluído","Concluído",IF(Y90&lt;TODAY(),"Vencido",IF(Y90-TODAY()&lt;=2,"A vencer","No prazo"))))</f>
        <v/>
      </c>
      <c r="AA90" s="3">
        <f>IF(OR(Y90="",Q90="Concluído"),"",Y90-TODAY())</f>
        <v/>
      </c>
      <c r="AB90" s="5" t="n"/>
      <c r="AC90" s="5" t="n"/>
      <c r="AD90" s="4" t="n"/>
    </row>
    <row r="91">
      <c r="A91" s="3">
        <f>IF(C91="","",ROW()-1)</f>
        <v/>
      </c>
      <c r="B91" s="4" t="n"/>
      <c r="C91" s="4" t="n"/>
      <c r="D91" s="5" t="n"/>
      <c r="E91" s="5" t="n"/>
      <c r="F91" s="5" t="n"/>
      <c r="G91" s="5" t="n"/>
      <c r="H91" s="5" t="n"/>
      <c r="I91" s="5" t="n"/>
      <c r="J91" s="5" t="n"/>
      <c r="K91" s="6" t="n"/>
      <c r="L91" s="6" t="n"/>
      <c r="M91" s="6" t="n"/>
      <c r="N91" s="5" t="n"/>
      <c r="O91" s="21" t="n"/>
      <c r="P91" s="5" t="n"/>
      <c r="Q91" s="5" t="n"/>
      <c r="R91" s="6" t="n"/>
      <c r="S91" s="4" t="n"/>
      <c r="T91" s="4" t="n"/>
      <c r="U91" s="3">
        <f>IF(C91="","",IF(T91="",TODAY()-C91,T91-C91))</f>
        <v/>
      </c>
      <c r="V91" s="5" t="n"/>
      <c r="W91" s="6" t="n"/>
      <c r="X91" s="3">
        <f>IF(P91="","",IFERROR(VLOOKUP(P91,Parâmetros!$J$2:$K$5,2,FALSE),""))</f>
        <v/>
      </c>
      <c r="Y91" s="4">
        <f>IF(OR(C91="",X91=""),"",C91+X91)</f>
        <v/>
      </c>
      <c r="Z91" s="5">
        <f>IF(C91="","",IF(Q91="Concluído","Concluído",IF(Y91&lt;TODAY(),"Vencido",IF(Y91-TODAY()&lt;=2,"A vencer","No prazo"))))</f>
        <v/>
      </c>
      <c r="AA91" s="3">
        <f>IF(OR(Y91="",Q91="Concluído"),"",Y91-TODAY())</f>
        <v/>
      </c>
      <c r="AB91" s="5" t="n"/>
      <c r="AC91" s="5" t="n"/>
      <c r="AD91" s="4" t="n"/>
    </row>
    <row r="92">
      <c r="A92" s="3">
        <f>IF(C92="","",ROW()-1)</f>
        <v/>
      </c>
      <c r="B92" s="4" t="n"/>
      <c r="C92" s="4" t="n"/>
      <c r="D92" s="5" t="n"/>
      <c r="E92" s="5" t="n"/>
      <c r="F92" s="5" t="n"/>
      <c r="G92" s="5" t="n"/>
      <c r="H92" s="5" t="n"/>
      <c r="I92" s="5" t="n"/>
      <c r="J92" s="5" t="n"/>
      <c r="K92" s="6" t="n"/>
      <c r="L92" s="6" t="n"/>
      <c r="M92" s="6" t="n"/>
      <c r="N92" s="5" t="n"/>
      <c r="O92" s="21" t="n"/>
      <c r="P92" s="5" t="n"/>
      <c r="Q92" s="5" t="n"/>
      <c r="R92" s="6" t="n"/>
      <c r="S92" s="4" t="n"/>
      <c r="T92" s="4" t="n"/>
      <c r="U92" s="3">
        <f>IF(C92="","",IF(T92="",TODAY()-C92,T92-C92))</f>
        <v/>
      </c>
      <c r="V92" s="5" t="n"/>
      <c r="W92" s="6" t="n"/>
      <c r="X92" s="3">
        <f>IF(P92="","",IFERROR(VLOOKUP(P92,Parâmetros!$J$2:$K$5,2,FALSE),""))</f>
        <v/>
      </c>
      <c r="Y92" s="4">
        <f>IF(OR(C92="",X92=""),"",C92+X92)</f>
        <v/>
      </c>
      <c r="Z92" s="5">
        <f>IF(C92="","",IF(Q92="Concluído","Concluído",IF(Y92&lt;TODAY(),"Vencido",IF(Y92-TODAY()&lt;=2,"A vencer","No prazo"))))</f>
        <v/>
      </c>
      <c r="AA92" s="3">
        <f>IF(OR(Y92="",Q92="Concluído"),"",Y92-TODAY())</f>
        <v/>
      </c>
      <c r="AB92" s="5" t="n"/>
      <c r="AC92" s="5" t="n"/>
      <c r="AD92" s="4" t="n"/>
    </row>
    <row r="93">
      <c r="A93" s="3">
        <f>IF(C93="","",ROW()-1)</f>
        <v/>
      </c>
      <c r="B93" s="4" t="n"/>
      <c r="C93" s="4" t="n"/>
      <c r="D93" s="5" t="n"/>
      <c r="E93" s="5" t="n"/>
      <c r="F93" s="5" t="n"/>
      <c r="G93" s="5" t="n"/>
      <c r="H93" s="5" t="n"/>
      <c r="I93" s="5" t="n"/>
      <c r="J93" s="5" t="n"/>
      <c r="K93" s="6" t="n"/>
      <c r="L93" s="6" t="n"/>
      <c r="M93" s="6" t="n"/>
      <c r="N93" s="5" t="n"/>
      <c r="O93" s="21" t="n"/>
      <c r="P93" s="5" t="n"/>
      <c r="Q93" s="5" t="n"/>
      <c r="R93" s="6" t="n"/>
      <c r="S93" s="4" t="n"/>
      <c r="T93" s="4" t="n"/>
      <c r="U93" s="3">
        <f>IF(C93="","",IF(T93="",TODAY()-C93,T93-C93))</f>
        <v/>
      </c>
      <c r="V93" s="5" t="n"/>
      <c r="W93" s="6" t="n"/>
      <c r="X93" s="3">
        <f>IF(P93="","",IFERROR(VLOOKUP(P93,Parâmetros!$J$2:$K$5,2,FALSE),""))</f>
        <v/>
      </c>
      <c r="Y93" s="4">
        <f>IF(OR(C93="",X93=""),"",C93+X93)</f>
        <v/>
      </c>
      <c r="Z93" s="5">
        <f>IF(C93="","",IF(Q93="Concluído","Concluído",IF(Y93&lt;TODAY(),"Vencido",IF(Y93-TODAY()&lt;=2,"A vencer","No prazo"))))</f>
        <v/>
      </c>
      <c r="AA93" s="3">
        <f>IF(OR(Y93="",Q93="Concluído"),"",Y93-TODAY())</f>
        <v/>
      </c>
      <c r="AB93" s="5" t="n"/>
      <c r="AC93" s="5" t="n"/>
      <c r="AD93" s="4" t="n"/>
    </row>
    <row r="94">
      <c r="A94" s="3">
        <f>IF(C94="","",ROW()-1)</f>
        <v/>
      </c>
      <c r="B94" s="4" t="n"/>
      <c r="C94" s="4" t="n"/>
      <c r="D94" s="5" t="n"/>
      <c r="E94" s="5" t="n"/>
      <c r="F94" s="5" t="n"/>
      <c r="G94" s="5" t="n"/>
      <c r="H94" s="5" t="n"/>
      <c r="I94" s="5" t="n"/>
      <c r="J94" s="5" t="n"/>
      <c r="K94" s="6" t="n"/>
      <c r="L94" s="6" t="n"/>
      <c r="M94" s="6" t="n"/>
      <c r="N94" s="5" t="n"/>
      <c r="O94" s="21" t="n"/>
      <c r="P94" s="5" t="n"/>
      <c r="Q94" s="5" t="n"/>
      <c r="R94" s="6" t="n"/>
      <c r="S94" s="4" t="n"/>
      <c r="T94" s="4" t="n"/>
      <c r="U94" s="3">
        <f>IF(C94="","",IF(T94="",TODAY()-C94,T94-C94))</f>
        <v/>
      </c>
      <c r="V94" s="5" t="n"/>
      <c r="W94" s="6" t="n"/>
      <c r="X94" s="3">
        <f>IF(P94="","",IFERROR(VLOOKUP(P94,Parâmetros!$J$2:$K$5,2,FALSE),""))</f>
        <v/>
      </c>
      <c r="Y94" s="4">
        <f>IF(OR(C94="",X94=""),"",C94+X94)</f>
        <v/>
      </c>
      <c r="Z94" s="5">
        <f>IF(C94="","",IF(Q94="Concluído","Concluído",IF(Y94&lt;TODAY(),"Vencido",IF(Y94-TODAY()&lt;=2,"A vencer","No prazo"))))</f>
        <v/>
      </c>
      <c r="AA94" s="3">
        <f>IF(OR(Y94="",Q94="Concluído"),"",Y94-TODAY())</f>
        <v/>
      </c>
      <c r="AB94" s="5" t="n"/>
      <c r="AC94" s="5" t="n"/>
      <c r="AD94" s="4" t="n"/>
    </row>
    <row r="95">
      <c r="A95" s="3">
        <f>IF(C95="","",ROW()-1)</f>
        <v/>
      </c>
      <c r="B95" s="4" t="n"/>
      <c r="C95" s="4" t="n"/>
      <c r="D95" s="5" t="n"/>
      <c r="E95" s="5" t="n"/>
      <c r="F95" s="5" t="n"/>
      <c r="G95" s="5" t="n"/>
      <c r="H95" s="5" t="n"/>
      <c r="I95" s="5" t="n"/>
      <c r="J95" s="5" t="n"/>
      <c r="K95" s="6" t="n"/>
      <c r="L95" s="6" t="n"/>
      <c r="M95" s="6" t="n"/>
      <c r="N95" s="5" t="n"/>
      <c r="O95" s="21" t="n"/>
      <c r="P95" s="5" t="n"/>
      <c r="Q95" s="5" t="n"/>
      <c r="R95" s="6" t="n"/>
      <c r="S95" s="4" t="n"/>
      <c r="T95" s="4" t="n"/>
      <c r="U95" s="3">
        <f>IF(C95="","",IF(T95="",TODAY()-C95,T95-C95))</f>
        <v/>
      </c>
      <c r="V95" s="5" t="n"/>
      <c r="W95" s="6" t="n"/>
      <c r="X95" s="3">
        <f>IF(P95="","",IFERROR(VLOOKUP(P95,Parâmetros!$J$2:$K$5,2,FALSE),""))</f>
        <v/>
      </c>
      <c r="Y95" s="4">
        <f>IF(OR(C95="",X95=""),"",C95+X95)</f>
        <v/>
      </c>
      <c r="Z95" s="5">
        <f>IF(C95="","",IF(Q95="Concluído","Concluído",IF(Y95&lt;TODAY(),"Vencido",IF(Y95-TODAY()&lt;=2,"A vencer","No prazo"))))</f>
        <v/>
      </c>
      <c r="AA95" s="3">
        <f>IF(OR(Y95="",Q95="Concluído"),"",Y95-TODAY())</f>
        <v/>
      </c>
      <c r="AB95" s="5" t="n"/>
      <c r="AC95" s="5" t="n"/>
      <c r="AD95" s="4" t="n"/>
    </row>
    <row r="96">
      <c r="A96" s="3">
        <f>IF(C96="","",ROW()-1)</f>
        <v/>
      </c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6" t="n"/>
      <c r="L96" s="6" t="n"/>
      <c r="M96" s="6" t="n"/>
      <c r="N96" s="5" t="n"/>
      <c r="O96" s="21" t="n"/>
      <c r="P96" s="5" t="n"/>
      <c r="Q96" s="5" t="n"/>
      <c r="R96" s="6" t="n"/>
      <c r="S96" s="4" t="n"/>
      <c r="T96" s="4" t="n"/>
      <c r="U96" s="3">
        <f>IF(C96="","",IF(T96="",TODAY()-C96,T96-C96))</f>
        <v/>
      </c>
      <c r="V96" s="5" t="n"/>
      <c r="W96" s="6" t="n"/>
      <c r="X96" s="3">
        <f>IF(P96="","",IFERROR(VLOOKUP(P96,Parâmetros!$J$2:$K$5,2,FALSE),""))</f>
        <v/>
      </c>
      <c r="Y96" s="4">
        <f>IF(OR(C96="",X96=""),"",C96+X96)</f>
        <v/>
      </c>
      <c r="Z96" s="5">
        <f>IF(C96="","",IF(Q96="Concluído","Concluído",IF(Y96&lt;TODAY(),"Vencido",IF(Y96-TODAY()&lt;=2,"A vencer","No prazo"))))</f>
        <v/>
      </c>
      <c r="AA96" s="3">
        <f>IF(OR(Y96="",Q96="Concluído"),"",Y96-TODAY())</f>
        <v/>
      </c>
      <c r="AB96" s="5" t="n"/>
      <c r="AC96" s="5" t="n"/>
      <c r="AD96" s="4" t="n"/>
    </row>
    <row r="97">
      <c r="A97" s="3">
        <f>IF(C97="","",ROW()-1)</f>
        <v/>
      </c>
      <c r="B97" s="4" t="n"/>
      <c r="C97" s="4" t="n"/>
      <c r="D97" s="5" t="n"/>
      <c r="E97" s="5" t="n"/>
      <c r="F97" s="5" t="n"/>
      <c r="G97" s="5" t="n"/>
      <c r="H97" s="5" t="n"/>
      <c r="I97" s="5" t="n"/>
      <c r="J97" s="5" t="n"/>
      <c r="K97" s="6" t="n"/>
      <c r="L97" s="6" t="n"/>
      <c r="M97" s="6" t="n"/>
      <c r="N97" s="5" t="n"/>
      <c r="O97" s="21" t="n"/>
      <c r="P97" s="5" t="n"/>
      <c r="Q97" s="5" t="n"/>
      <c r="R97" s="6" t="n"/>
      <c r="S97" s="4" t="n"/>
      <c r="T97" s="4" t="n"/>
      <c r="U97" s="3">
        <f>IF(C97="","",IF(T97="",TODAY()-C97,T97-C97))</f>
        <v/>
      </c>
      <c r="V97" s="5" t="n"/>
      <c r="W97" s="6" t="n"/>
      <c r="X97" s="3">
        <f>IF(P97="","",IFERROR(VLOOKUP(P97,Parâmetros!$J$2:$K$5,2,FALSE),""))</f>
        <v/>
      </c>
      <c r="Y97" s="4">
        <f>IF(OR(C97="",X97=""),"",C97+X97)</f>
        <v/>
      </c>
      <c r="Z97" s="5">
        <f>IF(C97="","",IF(Q97="Concluído","Concluído",IF(Y97&lt;TODAY(),"Vencido",IF(Y97-TODAY()&lt;=2,"A vencer","No prazo"))))</f>
        <v/>
      </c>
      <c r="AA97" s="3">
        <f>IF(OR(Y97="",Q97="Concluído"),"",Y97-TODAY())</f>
        <v/>
      </c>
      <c r="AB97" s="5" t="n"/>
      <c r="AC97" s="5" t="n"/>
      <c r="AD97" s="4" t="n"/>
    </row>
    <row r="98">
      <c r="A98" s="3">
        <f>IF(C98="","",ROW()-1)</f>
        <v/>
      </c>
      <c r="B98" s="4" t="n"/>
      <c r="C98" s="4" t="n"/>
      <c r="D98" s="5" t="n"/>
      <c r="E98" s="5" t="n"/>
      <c r="F98" s="5" t="n"/>
      <c r="G98" s="5" t="n"/>
      <c r="H98" s="5" t="n"/>
      <c r="I98" s="5" t="n"/>
      <c r="J98" s="5" t="n"/>
      <c r="K98" s="6" t="n"/>
      <c r="L98" s="6" t="n"/>
      <c r="M98" s="6" t="n"/>
      <c r="N98" s="5" t="n"/>
      <c r="O98" s="21" t="n"/>
      <c r="P98" s="5" t="n"/>
      <c r="Q98" s="5" t="n"/>
      <c r="R98" s="6" t="n"/>
      <c r="S98" s="4" t="n"/>
      <c r="T98" s="4" t="n"/>
      <c r="U98" s="3">
        <f>IF(C98="","",IF(T98="",TODAY()-C98,T98-C98))</f>
        <v/>
      </c>
      <c r="V98" s="5" t="n"/>
      <c r="W98" s="6" t="n"/>
      <c r="X98" s="3">
        <f>IF(P98="","",IFERROR(VLOOKUP(P98,Parâmetros!$J$2:$K$5,2,FALSE),""))</f>
        <v/>
      </c>
      <c r="Y98" s="4">
        <f>IF(OR(C98="",X98=""),"",C98+X98)</f>
        <v/>
      </c>
      <c r="Z98" s="5">
        <f>IF(C98="","",IF(Q98="Concluído","Concluído",IF(Y98&lt;TODAY(),"Vencido",IF(Y98-TODAY()&lt;=2,"A vencer","No prazo"))))</f>
        <v/>
      </c>
      <c r="AA98" s="3">
        <f>IF(OR(Y98="",Q98="Concluído"),"",Y98-TODAY())</f>
        <v/>
      </c>
      <c r="AB98" s="5" t="n"/>
      <c r="AC98" s="5" t="n"/>
      <c r="AD98" s="4" t="n"/>
    </row>
    <row r="99">
      <c r="A99" s="3">
        <f>IF(C99="","",ROW()-1)</f>
        <v/>
      </c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6" t="n"/>
      <c r="L99" s="6" t="n"/>
      <c r="M99" s="6" t="n"/>
      <c r="N99" s="5" t="n"/>
      <c r="O99" s="21" t="n"/>
      <c r="P99" s="5" t="n"/>
      <c r="Q99" s="5" t="n"/>
      <c r="R99" s="6" t="n"/>
      <c r="S99" s="4" t="n"/>
      <c r="T99" s="4" t="n"/>
      <c r="U99" s="3">
        <f>IF(C99="","",IF(T99="",TODAY()-C99,T99-C99))</f>
        <v/>
      </c>
      <c r="V99" s="5" t="n"/>
      <c r="W99" s="6" t="n"/>
      <c r="X99" s="3">
        <f>IF(P99="","",IFERROR(VLOOKUP(P99,Parâmetros!$J$2:$K$5,2,FALSE),""))</f>
        <v/>
      </c>
      <c r="Y99" s="4">
        <f>IF(OR(C99="",X99=""),"",C99+X99)</f>
        <v/>
      </c>
      <c r="Z99" s="5">
        <f>IF(C99="","",IF(Q99="Concluído","Concluído",IF(Y99&lt;TODAY(),"Vencido",IF(Y99-TODAY()&lt;=2,"A vencer","No prazo"))))</f>
        <v/>
      </c>
      <c r="AA99" s="3">
        <f>IF(OR(Y99="",Q99="Concluído"),"",Y99-TODAY())</f>
        <v/>
      </c>
      <c r="AB99" s="5" t="n"/>
      <c r="AC99" s="5" t="n"/>
      <c r="AD99" s="4" t="n"/>
    </row>
    <row r="100">
      <c r="A100" s="3">
        <f>IF(C100="","",ROW()-1)</f>
        <v/>
      </c>
      <c r="B100" s="4" t="n"/>
      <c r="C100" s="4" t="n"/>
      <c r="D100" s="5" t="n"/>
      <c r="E100" s="5" t="n"/>
      <c r="F100" s="5" t="n"/>
      <c r="G100" s="5" t="n"/>
      <c r="H100" s="5" t="n"/>
      <c r="I100" s="5" t="n"/>
      <c r="J100" s="5" t="n"/>
      <c r="K100" s="6" t="n"/>
      <c r="L100" s="6" t="n"/>
      <c r="M100" s="6" t="n"/>
      <c r="N100" s="5" t="n"/>
      <c r="O100" s="21" t="n"/>
      <c r="P100" s="5" t="n"/>
      <c r="Q100" s="5" t="n"/>
      <c r="R100" s="6" t="n"/>
      <c r="S100" s="4" t="n"/>
      <c r="T100" s="4" t="n"/>
      <c r="U100" s="3">
        <f>IF(C100="","",IF(T100="",TODAY()-C100,T100-C100))</f>
        <v/>
      </c>
      <c r="V100" s="5" t="n"/>
      <c r="W100" s="6" t="n"/>
      <c r="X100" s="3">
        <f>IF(P100="","",IFERROR(VLOOKUP(P100,Parâmetros!$J$2:$K$5,2,FALSE),""))</f>
        <v/>
      </c>
      <c r="Y100" s="4">
        <f>IF(OR(C100="",X100=""),"",C100+X100)</f>
        <v/>
      </c>
      <c r="Z100" s="5">
        <f>IF(C100="","",IF(Q100="Concluído","Concluído",IF(Y100&lt;TODAY(),"Vencido",IF(Y100-TODAY()&lt;=2,"A vencer","No prazo"))))</f>
        <v/>
      </c>
      <c r="AA100" s="3">
        <f>IF(OR(Y100="",Q100="Concluído"),"",Y100-TODAY())</f>
        <v/>
      </c>
      <c r="AB100" s="5" t="n"/>
      <c r="AC100" s="5" t="n"/>
      <c r="AD100" s="4" t="n"/>
    </row>
    <row r="101">
      <c r="A101" s="3">
        <f>IF(C101="","",ROW()-1)</f>
        <v/>
      </c>
      <c r="B101" s="4" t="n"/>
      <c r="C101" s="4" t="n"/>
      <c r="D101" s="5" t="n"/>
      <c r="E101" s="5" t="n"/>
      <c r="F101" s="5" t="n"/>
      <c r="G101" s="5" t="n"/>
      <c r="H101" s="5" t="n"/>
      <c r="I101" s="5" t="n"/>
      <c r="J101" s="5" t="n"/>
      <c r="K101" s="6" t="n"/>
      <c r="L101" s="6" t="n"/>
      <c r="M101" s="6" t="n"/>
      <c r="N101" s="5" t="n"/>
      <c r="O101" s="21" t="n"/>
      <c r="P101" s="5" t="n"/>
      <c r="Q101" s="5" t="n"/>
      <c r="R101" s="6" t="n"/>
      <c r="S101" s="4" t="n"/>
      <c r="T101" s="4" t="n"/>
      <c r="U101" s="3">
        <f>IF(C101="","",IF(T101="",TODAY()-C101,T101-C101))</f>
        <v/>
      </c>
      <c r="V101" s="5" t="n"/>
      <c r="W101" s="6" t="n"/>
      <c r="X101" s="3">
        <f>IF(P101="","",IFERROR(VLOOKUP(P101,Parâmetros!$J$2:$K$5,2,FALSE),""))</f>
        <v/>
      </c>
      <c r="Y101" s="4">
        <f>IF(OR(C101="",X101=""),"",C101+X101)</f>
        <v/>
      </c>
      <c r="Z101" s="5">
        <f>IF(C101="","",IF(Q101="Concluído","Concluído",IF(Y101&lt;TODAY(),"Vencido",IF(Y101-TODAY()&lt;=2,"A vencer","No prazo"))))</f>
        <v/>
      </c>
      <c r="AA101" s="3">
        <f>IF(OR(Y101="",Q101="Concluído"),"",Y101-TODAY())</f>
        <v/>
      </c>
      <c r="AB101" s="5" t="n"/>
      <c r="AC101" s="5" t="n"/>
      <c r="AD101" s="4" t="n"/>
    </row>
    <row r="102">
      <c r="A102" s="3">
        <f>IF(C102="","",ROW()-1)</f>
        <v/>
      </c>
      <c r="B102" s="4" t="n"/>
      <c r="C102" s="4" t="n"/>
      <c r="D102" s="5" t="n"/>
      <c r="E102" s="5" t="n"/>
      <c r="F102" s="5" t="n"/>
      <c r="G102" s="5" t="n"/>
      <c r="H102" s="5" t="n"/>
      <c r="I102" s="5" t="n"/>
      <c r="J102" s="5" t="n"/>
      <c r="K102" s="6" t="n"/>
      <c r="L102" s="6" t="n"/>
      <c r="M102" s="6" t="n"/>
      <c r="N102" s="5" t="n"/>
      <c r="O102" s="21" t="n"/>
      <c r="P102" s="5" t="n"/>
      <c r="Q102" s="5" t="n"/>
      <c r="R102" s="6" t="n"/>
      <c r="S102" s="4" t="n"/>
      <c r="T102" s="4" t="n"/>
      <c r="U102" s="3">
        <f>IF(C102="","",IF(T102="",TODAY()-C102,T102-C102))</f>
        <v/>
      </c>
      <c r="V102" s="5" t="n"/>
      <c r="W102" s="6" t="n"/>
      <c r="X102" s="3">
        <f>IF(P102="","",IFERROR(VLOOKUP(P102,Parâmetros!$J$2:$K$5,2,FALSE),""))</f>
        <v/>
      </c>
      <c r="Y102" s="4">
        <f>IF(OR(C102="",X102=""),"",C102+X102)</f>
        <v/>
      </c>
      <c r="Z102" s="5">
        <f>IF(C102="","",IF(Q102="Concluído","Concluído",IF(Y102&lt;TODAY(),"Vencido",IF(Y102-TODAY()&lt;=2,"A vencer","No prazo"))))</f>
        <v/>
      </c>
      <c r="AA102" s="3">
        <f>IF(OR(Y102="",Q102="Concluído"),"",Y102-TODAY())</f>
        <v/>
      </c>
      <c r="AB102" s="5" t="n"/>
      <c r="AC102" s="5" t="n"/>
      <c r="AD102" s="4" t="n"/>
    </row>
    <row r="103">
      <c r="A103" s="3">
        <f>IF(C103="","",ROW()-1)</f>
        <v/>
      </c>
      <c r="B103" s="4" t="n"/>
      <c r="C103" s="4" t="n"/>
      <c r="D103" s="5" t="n"/>
      <c r="E103" s="5" t="n"/>
      <c r="F103" s="5" t="n"/>
      <c r="G103" s="5" t="n"/>
      <c r="H103" s="5" t="n"/>
      <c r="I103" s="5" t="n"/>
      <c r="J103" s="5" t="n"/>
      <c r="K103" s="6" t="n"/>
      <c r="L103" s="6" t="n"/>
      <c r="M103" s="6" t="n"/>
      <c r="N103" s="5" t="n"/>
      <c r="O103" s="21" t="n"/>
      <c r="P103" s="5" t="n"/>
      <c r="Q103" s="5" t="n"/>
      <c r="R103" s="6" t="n"/>
      <c r="S103" s="4" t="n"/>
      <c r="T103" s="4" t="n"/>
      <c r="U103" s="3">
        <f>IF(C103="","",IF(T103="",TODAY()-C103,T103-C103))</f>
        <v/>
      </c>
      <c r="V103" s="5" t="n"/>
      <c r="W103" s="6" t="n"/>
      <c r="X103" s="3">
        <f>IF(P103="","",IFERROR(VLOOKUP(P103,Parâmetros!$J$2:$K$5,2,FALSE),""))</f>
        <v/>
      </c>
      <c r="Y103" s="4">
        <f>IF(OR(C103="",X103=""),"",C103+X103)</f>
        <v/>
      </c>
      <c r="Z103" s="5">
        <f>IF(C103="","",IF(Q103="Concluído","Concluído",IF(Y103&lt;TODAY(),"Vencido",IF(Y103-TODAY()&lt;=2,"A vencer","No prazo"))))</f>
        <v/>
      </c>
      <c r="AA103" s="3">
        <f>IF(OR(Y103="",Q103="Concluído"),"",Y103-TODAY())</f>
        <v/>
      </c>
      <c r="AB103" s="5" t="n"/>
      <c r="AC103" s="5" t="n"/>
      <c r="AD103" s="4" t="n"/>
    </row>
    <row r="104">
      <c r="A104" s="3">
        <f>IF(C104="","",ROW()-1)</f>
        <v/>
      </c>
      <c r="B104" s="4" t="n"/>
      <c r="C104" s="4" t="n"/>
      <c r="D104" s="5" t="n"/>
      <c r="E104" s="5" t="n"/>
      <c r="F104" s="5" t="n"/>
      <c r="G104" s="5" t="n"/>
      <c r="H104" s="5" t="n"/>
      <c r="I104" s="5" t="n"/>
      <c r="J104" s="5" t="n"/>
      <c r="K104" s="6" t="n"/>
      <c r="L104" s="6" t="n"/>
      <c r="M104" s="6" t="n"/>
      <c r="N104" s="5" t="n"/>
      <c r="O104" s="21" t="n"/>
      <c r="P104" s="5" t="n"/>
      <c r="Q104" s="5" t="n"/>
      <c r="R104" s="6" t="n"/>
      <c r="S104" s="4" t="n"/>
      <c r="T104" s="4" t="n"/>
      <c r="U104" s="3">
        <f>IF(C104="","",IF(T104="",TODAY()-C104,T104-C104))</f>
        <v/>
      </c>
      <c r="V104" s="5" t="n"/>
      <c r="W104" s="6" t="n"/>
      <c r="X104" s="3">
        <f>IF(P104="","",IFERROR(VLOOKUP(P104,Parâmetros!$J$2:$K$5,2,FALSE),""))</f>
        <v/>
      </c>
      <c r="Y104" s="4">
        <f>IF(OR(C104="",X104=""),"",C104+X104)</f>
        <v/>
      </c>
      <c r="Z104" s="5">
        <f>IF(C104="","",IF(Q104="Concluído","Concluído",IF(Y104&lt;TODAY(),"Vencido",IF(Y104-TODAY()&lt;=2,"A vencer","No prazo"))))</f>
        <v/>
      </c>
      <c r="AA104" s="3">
        <f>IF(OR(Y104="",Q104="Concluído"),"",Y104-TODAY())</f>
        <v/>
      </c>
      <c r="AB104" s="5" t="n"/>
      <c r="AC104" s="5" t="n"/>
      <c r="AD104" s="4" t="n"/>
    </row>
    <row r="105">
      <c r="A105" s="3">
        <f>IF(C105="","",ROW()-1)</f>
        <v/>
      </c>
      <c r="B105" s="4" t="n"/>
      <c r="C105" s="4" t="n"/>
      <c r="D105" s="5" t="n"/>
      <c r="E105" s="5" t="n"/>
      <c r="F105" s="5" t="n"/>
      <c r="G105" s="5" t="n"/>
      <c r="H105" s="5" t="n"/>
      <c r="I105" s="5" t="n"/>
      <c r="J105" s="5" t="n"/>
      <c r="K105" s="6" t="n"/>
      <c r="L105" s="6" t="n"/>
      <c r="M105" s="6" t="n"/>
      <c r="N105" s="5" t="n"/>
      <c r="O105" s="21" t="n"/>
      <c r="P105" s="5" t="n"/>
      <c r="Q105" s="5" t="n"/>
      <c r="R105" s="6" t="n"/>
      <c r="S105" s="4" t="n"/>
      <c r="T105" s="4" t="n"/>
      <c r="U105" s="3">
        <f>IF(C105="","",IF(T105="",TODAY()-C105,T105-C105))</f>
        <v/>
      </c>
      <c r="V105" s="5" t="n"/>
      <c r="W105" s="6" t="n"/>
      <c r="X105" s="3">
        <f>IF(P105="","",IFERROR(VLOOKUP(P105,Parâmetros!$J$2:$K$5,2,FALSE),""))</f>
        <v/>
      </c>
      <c r="Y105" s="4">
        <f>IF(OR(C105="",X105=""),"",C105+X105)</f>
        <v/>
      </c>
      <c r="Z105" s="5">
        <f>IF(C105="","",IF(Q105="Concluído","Concluído",IF(Y105&lt;TODAY(),"Vencido",IF(Y105-TODAY()&lt;=2,"A vencer","No prazo"))))</f>
        <v/>
      </c>
      <c r="AA105" s="3">
        <f>IF(OR(Y105="",Q105="Concluído"),"",Y105-TODAY())</f>
        <v/>
      </c>
      <c r="AB105" s="5" t="n"/>
      <c r="AC105" s="5" t="n"/>
      <c r="AD105" s="4" t="n"/>
    </row>
    <row r="106">
      <c r="A106" s="3">
        <f>IF(C106="","",ROW()-1)</f>
        <v/>
      </c>
      <c r="B106" s="4" t="n"/>
      <c r="C106" s="4" t="n"/>
      <c r="D106" s="5" t="n"/>
      <c r="E106" s="5" t="n"/>
      <c r="F106" s="5" t="n"/>
      <c r="G106" s="5" t="n"/>
      <c r="H106" s="5" t="n"/>
      <c r="I106" s="5" t="n"/>
      <c r="J106" s="5" t="n"/>
      <c r="K106" s="6" t="n"/>
      <c r="L106" s="6" t="n"/>
      <c r="M106" s="6" t="n"/>
      <c r="N106" s="5" t="n"/>
      <c r="O106" s="21" t="n"/>
      <c r="P106" s="5" t="n"/>
      <c r="Q106" s="5" t="n"/>
      <c r="R106" s="6" t="n"/>
      <c r="S106" s="4" t="n"/>
      <c r="T106" s="4" t="n"/>
      <c r="U106" s="3">
        <f>IF(C106="","",IF(T106="",TODAY()-C106,T106-C106))</f>
        <v/>
      </c>
      <c r="V106" s="5" t="n"/>
      <c r="W106" s="6" t="n"/>
      <c r="X106" s="3">
        <f>IF(P106="","",IFERROR(VLOOKUP(P106,Parâmetros!$J$2:$K$5,2,FALSE),""))</f>
        <v/>
      </c>
      <c r="Y106" s="4">
        <f>IF(OR(C106="",X106=""),"",C106+X106)</f>
        <v/>
      </c>
      <c r="Z106" s="5">
        <f>IF(C106="","",IF(Q106="Concluído","Concluído",IF(Y106&lt;TODAY(),"Vencido",IF(Y106-TODAY()&lt;=2,"A vencer","No prazo"))))</f>
        <v/>
      </c>
      <c r="AA106" s="3">
        <f>IF(OR(Y106="",Q106="Concluído"),"",Y106-TODAY())</f>
        <v/>
      </c>
      <c r="AB106" s="5" t="n"/>
      <c r="AC106" s="5" t="n"/>
      <c r="AD106" s="4" t="n"/>
    </row>
    <row r="107">
      <c r="A107" s="3">
        <f>IF(C107="","",ROW()-1)</f>
        <v/>
      </c>
      <c r="B107" s="4" t="n"/>
      <c r="C107" s="4" t="n"/>
      <c r="D107" s="5" t="n"/>
      <c r="E107" s="5" t="n"/>
      <c r="F107" s="5" t="n"/>
      <c r="G107" s="5" t="n"/>
      <c r="H107" s="5" t="n"/>
      <c r="I107" s="5" t="n"/>
      <c r="J107" s="5" t="n"/>
      <c r="K107" s="6" t="n"/>
      <c r="L107" s="6" t="n"/>
      <c r="M107" s="6" t="n"/>
      <c r="N107" s="5" t="n"/>
      <c r="O107" s="21" t="n"/>
      <c r="P107" s="5" t="n"/>
      <c r="Q107" s="5" t="n"/>
      <c r="R107" s="6" t="n"/>
      <c r="S107" s="4" t="n"/>
      <c r="T107" s="4" t="n"/>
      <c r="U107" s="3">
        <f>IF(C107="","",IF(T107="",TODAY()-C107,T107-C107))</f>
        <v/>
      </c>
      <c r="V107" s="5" t="n"/>
      <c r="W107" s="6" t="n"/>
      <c r="X107" s="3">
        <f>IF(P107="","",IFERROR(VLOOKUP(P107,Parâmetros!$J$2:$K$5,2,FALSE),""))</f>
        <v/>
      </c>
      <c r="Y107" s="4">
        <f>IF(OR(C107="",X107=""),"",C107+X107)</f>
        <v/>
      </c>
      <c r="Z107" s="5">
        <f>IF(C107="","",IF(Q107="Concluído","Concluído",IF(Y107&lt;TODAY(),"Vencido",IF(Y107-TODAY()&lt;=2,"A vencer","No prazo"))))</f>
        <v/>
      </c>
      <c r="AA107" s="3">
        <f>IF(OR(Y107="",Q107="Concluído"),"",Y107-TODAY())</f>
        <v/>
      </c>
      <c r="AB107" s="5" t="n"/>
      <c r="AC107" s="5" t="n"/>
      <c r="AD107" s="4" t="n"/>
    </row>
    <row r="108">
      <c r="A108" s="3">
        <f>IF(C108="","",ROW()-1)</f>
        <v/>
      </c>
      <c r="B108" s="4" t="n"/>
      <c r="C108" s="4" t="n"/>
      <c r="D108" s="5" t="n"/>
      <c r="E108" s="5" t="n"/>
      <c r="F108" s="5" t="n"/>
      <c r="G108" s="5" t="n"/>
      <c r="H108" s="5" t="n"/>
      <c r="I108" s="5" t="n"/>
      <c r="J108" s="5" t="n"/>
      <c r="K108" s="6" t="n"/>
      <c r="L108" s="6" t="n"/>
      <c r="M108" s="6" t="n"/>
      <c r="N108" s="5" t="n"/>
      <c r="O108" s="21" t="n"/>
      <c r="P108" s="5" t="n"/>
      <c r="Q108" s="5" t="n"/>
      <c r="R108" s="6" t="n"/>
      <c r="S108" s="4" t="n"/>
      <c r="T108" s="4" t="n"/>
      <c r="U108" s="3">
        <f>IF(C108="","",IF(T108="",TODAY()-C108,T108-C108))</f>
        <v/>
      </c>
      <c r="V108" s="5" t="n"/>
      <c r="W108" s="6" t="n"/>
      <c r="X108" s="3">
        <f>IF(P108="","",IFERROR(VLOOKUP(P108,Parâmetros!$J$2:$K$5,2,FALSE),""))</f>
        <v/>
      </c>
      <c r="Y108" s="4">
        <f>IF(OR(C108="",X108=""),"",C108+X108)</f>
        <v/>
      </c>
      <c r="Z108" s="5">
        <f>IF(C108="","",IF(Q108="Concluído","Concluído",IF(Y108&lt;TODAY(),"Vencido",IF(Y108-TODAY()&lt;=2,"A vencer","No prazo"))))</f>
        <v/>
      </c>
      <c r="AA108" s="3">
        <f>IF(OR(Y108="",Q108="Concluído"),"",Y108-TODAY())</f>
        <v/>
      </c>
      <c r="AB108" s="5" t="n"/>
      <c r="AC108" s="5" t="n"/>
      <c r="AD108" s="4" t="n"/>
    </row>
    <row r="109">
      <c r="A109" s="3">
        <f>IF(C109="","",ROW()-1)</f>
        <v/>
      </c>
      <c r="B109" s="4" t="n"/>
      <c r="C109" s="4" t="n"/>
      <c r="D109" s="5" t="n"/>
      <c r="E109" s="5" t="n"/>
      <c r="F109" s="5" t="n"/>
      <c r="G109" s="5" t="n"/>
      <c r="H109" s="5" t="n"/>
      <c r="I109" s="5" t="n"/>
      <c r="J109" s="5" t="n"/>
      <c r="K109" s="6" t="n"/>
      <c r="L109" s="6" t="n"/>
      <c r="M109" s="6" t="n"/>
      <c r="N109" s="5" t="n"/>
      <c r="O109" s="21" t="n"/>
      <c r="P109" s="5" t="n"/>
      <c r="Q109" s="5" t="n"/>
      <c r="R109" s="6" t="n"/>
      <c r="S109" s="4" t="n"/>
      <c r="T109" s="4" t="n"/>
      <c r="U109" s="3">
        <f>IF(C109="","",IF(T109="",TODAY()-C109,T109-C109))</f>
        <v/>
      </c>
      <c r="V109" s="5" t="n"/>
      <c r="W109" s="6" t="n"/>
      <c r="X109" s="3">
        <f>IF(P109="","",IFERROR(VLOOKUP(P109,Parâmetros!$J$2:$K$5,2,FALSE),""))</f>
        <v/>
      </c>
      <c r="Y109" s="4">
        <f>IF(OR(C109="",X109=""),"",C109+X109)</f>
        <v/>
      </c>
      <c r="Z109" s="5">
        <f>IF(C109="","",IF(Q109="Concluído","Concluído",IF(Y109&lt;TODAY(),"Vencido",IF(Y109-TODAY()&lt;=2,"A vencer","No prazo"))))</f>
        <v/>
      </c>
      <c r="AA109" s="3">
        <f>IF(OR(Y109="",Q109="Concluído"),"",Y109-TODAY())</f>
        <v/>
      </c>
      <c r="AB109" s="5" t="n"/>
      <c r="AC109" s="5" t="n"/>
      <c r="AD109" s="4" t="n"/>
    </row>
    <row r="110">
      <c r="A110" s="3">
        <f>IF(C110="","",ROW()-1)</f>
        <v/>
      </c>
      <c r="B110" s="4" t="n"/>
      <c r="C110" s="4" t="n"/>
      <c r="D110" s="5" t="n"/>
      <c r="E110" s="5" t="n"/>
      <c r="F110" s="5" t="n"/>
      <c r="G110" s="5" t="n"/>
      <c r="H110" s="5" t="n"/>
      <c r="I110" s="5" t="n"/>
      <c r="J110" s="5" t="n"/>
      <c r="K110" s="6" t="n"/>
      <c r="L110" s="6" t="n"/>
      <c r="M110" s="6" t="n"/>
      <c r="N110" s="5" t="n"/>
      <c r="O110" s="21" t="n"/>
      <c r="P110" s="5" t="n"/>
      <c r="Q110" s="5" t="n"/>
      <c r="R110" s="6" t="n"/>
      <c r="S110" s="4" t="n"/>
      <c r="T110" s="4" t="n"/>
      <c r="U110" s="3">
        <f>IF(C110="","",IF(T110="",TODAY()-C110,T110-C110))</f>
        <v/>
      </c>
      <c r="V110" s="5" t="n"/>
      <c r="W110" s="6" t="n"/>
      <c r="X110" s="3">
        <f>IF(P110="","",IFERROR(VLOOKUP(P110,Parâmetros!$J$2:$K$5,2,FALSE),""))</f>
        <v/>
      </c>
      <c r="Y110" s="4">
        <f>IF(OR(C110="",X110=""),"",C110+X110)</f>
        <v/>
      </c>
      <c r="Z110" s="5">
        <f>IF(C110="","",IF(Q110="Concluído","Concluído",IF(Y110&lt;TODAY(),"Vencido",IF(Y110-TODAY()&lt;=2,"A vencer","No prazo"))))</f>
        <v/>
      </c>
      <c r="AA110" s="3">
        <f>IF(OR(Y110="",Q110="Concluído"),"",Y110-TODAY())</f>
        <v/>
      </c>
      <c r="AB110" s="5" t="n"/>
      <c r="AC110" s="5" t="n"/>
      <c r="AD110" s="4" t="n"/>
    </row>
    <row r="111">
      <c r="A111" s="3">
        <f>IF(C111="","",ROW()-1)</f>
        <v/>
      </c>
      <c r="B111" s="4" t="n"/>
      <c r="C111" s="4" t="n"/>
      <c r="D111" s="5" t="n"/>
      <c r="E111" s="5" t="n"/>
      <c r="F111" s="5" t="n"/>
      <c r="G111" s="5" t="n"/>
      <c r="H111" s="5" t="n"/>
      <c r="I111" s="5" t="n"/>
      <c r="J111" s="5" t="n"/>
      <c r="K111" s="6" t="n"/>
      <c r="L111" s="6" t="n"/>
      <c r="M111" s="6" t="n"/>
      <c r="N111" s="5" t="n"/>
      <c r="O111" s="21" t="n"/>
      <c r="P111" s="5" t="n"/>
      <c r="Q111" s="5" t="n"/>
      <c r="R111" s="6" t="n"/>
      <c r="S111" s="4" t="n"/>
      <c r="T111" s="4" t="n"/>
      <c r="U111" s="3">
        <f>IF(C111="","",IF(T111="",TODAY()-C111,T111-C111))</f>
        <v/>
      </c>
      <c r="V111" s="5" t="n"/>
      <c r="W111" s="6" t="n"/>
      <c r="X111" s="3">
        <f>IF(P111="","",IFERROR(VLOOKUP(P111,Parâmetros!$J$2:$K$5,2,FALSE),""))</f>
        <v/>
      </c>
      <c r="Y111" s="4">
        <f>IF(OR(C111="",X111=""),"",C111+X111)</f>
        <v/>
      </c>
      <c r="Z111" s="5">
        <f>IF(C111="","",IF(Q111="Concluído","Concluído",IF(Y111&lt;TODAY(),"Vencido",IF(Y111-TODAY()&lt;=2,"A vencer","No prazo"))))</f>
        <v/>
      </c>
      <c r="AA111" s="3">
        <f>IF(OR(Y111="",Q111="Concluído"),"",Y111-TODAY())</f>
        <v/>
      </c>
      <c r="AB111" s="5" t="n"/>
      <c r="AC111" s="5" t="n"/>
      <c r="AD111" s="4" t="n"/>
    </row>
    <row r="112">
      <c r="A112" s="3">
        <f>IF(C112="","",ROW()-1)</f>
        <v/>
      </c>
      <c r="B112" s="4" t="n"/>
      <c r="C112" s="4" t="n"/>
      <c r="D112" s="5" t="n"/>
      <c r="E112" s="5" t="n"/>
      <c r="F112" s="5" t="n"/>
      <c r="G112" s="5" t="n"/>
      <c r="H112" s="5" t="n"/>
      <c r="I112" s="5" t="n"/>
      <c r="J112" s="5" t="n"/>
      <c r="K112" s="6" t="n"/>
      <c r="L112" s="6" t="n"/>
      <c r="M112" s="6" t="n"/>
      <c r="N112" s="5" t="n"/>
      <c r="O112" s="21" t="n"/>
      <c r="P112" s="5" t="n"/>
      <c r="Q112" s="5" t="n"/>
      <c r="R112" s="6" t="n"/>
      <c r="S112" s="4" t="n"/>
      <c r="T112" s="4" t="n"/>
      <c r="U112" s="3">
        <f>IF(C112="","",IF(T112="",TODAY()-C112,T112-C112))</f>
        <v/>
      </c>
      <c r="V112" s="5" t="n"/>
      <c r="W112" s="6" t="n"/>
      <c r="X112" s="3">
        <f>IF(P112="","",IFERROR(VLOOKUP(P112,Parâmetros!$J$2:$K$5,2,FALSE),""))</f>
        <v/>
      </c>
      <c r="Y112" s="4">
        <f>IF(OR(C112="",X112=""),"",C112+X112)</f>
        <v/>
      </c>
      <c r="Z112" s="5">
        <f>IF(C112="","",IF(Q112="Concluído","Concluído",IF(Y112&lt;TODAY(),"Vencido",IF(Y112-TODAY()&lt;=2,"A vencer","No prazo"))))</f>
        <v/>
      </c>
      <c r="AA112" s="3">
        <f>IF(OR(Y112="",Q112="Concluído"),"",Y112-TODAY())</f>
        <v/>
      </c>
      <c r="AB112" s="5" t="n"/>
      <c r="AC112" s="5" t="n"/>
      <c r="AD112" s="4" t="n"/>
    </row>
    <row r="113">
      <c r="A113" s="3">
        <f>IF(C113="","",ROW()-1)</f>
        <v/>
      </c>
      <c r="B113" s="4" t="n"/>
      <c r="C113" s="4" t="n"/>
      <c r="D113" s="5" t="n"/>
      <c r="E113" s="5" t="n"/>
      <c r="F113" s="5" t="n"/>
      <c r="G113" s="5" t="n"/>
      <c r="H113" s="5" t="n"/>
      <c r="I113" s="5" t="n"/>
      <c r="J113" s="5" t="n"/>
      <c r="K113" s="6" t="n"/>
      <c r="L113" s="6" t="n"/>
      <c r="M113" s="6" t="n"/>
      <c r="N113" s="5" t="n"/>
      <c r="O113" s="21" t="n"/>
      <c r="P113" s="5" t="n"/>
      <c r="Q113" s="5" t="n"/>
      <c r="R113" s="6" t="n"/>
      <c r="S113" s="4" t="n"/>
      <c r="T113" s="4" t="n"/>
      <c r="U113" s="3">
        <f>IF(C113="","",IF(T113="",TODAY()-C113,T113-C113))</f>
        <v/>
      </c>
      <c r="V113" s="5" t="n"/>
      <c r="W113" s="6" t="n"/>
      <c r="X113" s="3">
        <f>IF(P113="","",IFERROR(VLOOKUP(P113,Parâmetros!$J$2:$K$5,2,FALSE),""))</f>
        <v/>
      </c>
      <c r="Y113" s="4">
        <f>IF(OR(C113="",X113=""),"",C113+X113)</f>
        <v/>
      </c>
      <c r="Z113" s="5">
        <f>IF(C113="","",IF(Q113="Concluído","Concluído",IF(Y113&lt;TODAY(),"Vencido",IF(Y113-TODAY()&lt;=2,"A vencer","No prazo"))))</f>
        <v/>
      </c>
      <c r="AA113" s="3">
        <f>IF(OR(Y113="",Q113="Concluído"),"",Y113-TODAY())</f>
        <v/>
      </c>
      <c r="AB113" s="5" t="n"/>
      <c r="AC113" s="5" t="n"/>
      <c r="AD113" s="4" t="n"/>
    </row>
    <row r="114">
      <c r="A114" s="3">
        <f>IF(C114="","",ROW()-1)</f>
        <v/>
      </c>
      <c r="B114" s="4" t="n"/>
      <c r="C114" s="4" t="n"/>
      <c r="D114" s="5" t="n"/>
      <c r="E114" s="5" t="n"/>
      <c r="F114" s="5" t="n"/>
      <c r="G114" s="5" t="n"/>
      <c r="H114" s="5" t="n"/>
      <c r="I114" s="5" t="n"/>
      <c r="J114" s="5" t="n"/>
      <c r="K114" s="6" t="n"/>
      <c r="L114" s="6" t="n"/>
      <c r="M114" s="6" t="n"/>
      <c r="N114" s="5" t="n"/>
      <c r="O114" s="21" t="n"/>
      <c r="P114" s="5" t="n"/>
      <c r="Q114" s="5" t="n"/>
      <c r="R114" s="6" t="n"/>
      <c r="S114" s="4" t="n"/>
      <c r="T114" s="4" t="n"/>
      <c r="U114" s="3">
        <f>IF(C114="","",IF(T114="",TODAY()-C114,T114-C114))</f>
        <v/>
      </c>
      <c r="V114" s="5" t="n"/>
      <c r="W114" s="6" t="n"/>
      <c r="X114" s="3">
        <f>IF(P114="","",IFERROR(VLOOKUP(P114,Parâmetros!$J$2:$K$5,2,FALSE),""))</f>
        <v/>
      </c>
      <c r="Y114" s="4">
        <f>IF(OR(C114="",X114=""),"",C114+X114)</f>
        <v/>
      </c>
      <c r="Z114" s="5">
        <f>IF(C114="","",IF(Q114="Concluído","Concluído",IF(Y114&lt;TODAY(),"Vencido",IF(Y114-TODAY()&lt;=2,"A vencer","No prazo"))))</f>
        <v/>
      </c>
      <c r="AA114" s="3">
        <f>IF(OR(Y114="",Q114="Concluído"),"",Y114-TODAY())</f>
        <v/>
      </c>
      <c r="AB114" s="5" t="n"/>
      <c r="AC114" s="5" t="n"/>
      <c r="AD114" s="4" t="n"/>
    </row>
    <row r="115">
      <c r="A115" s="3">
        <f>IF(C115="","",ROW()-1)</f>
        <v/>
      </c>
      <c r="B115" s="4" t="n"/>
      <c r="C115" s="4" t="n"/>
      <c r="D115" s="5" t="n"/>
      <c r="E115" s="5" t="n"/>
      <c r="F115" s="5" t="n"/>
      <c r="G115" s="5" t="n"/>
      <c r="H115" s="5" t="n"/>
      <c r="I115" s="5" t="n"/>
      <c r="J115" s="5" t="n"/>
      <c r="K115" s="6" t="n"/>
      <c r="L115" s="6" t="n"/>
      <c r="M115" s="6" t="n"/>
      <c r="N115" s="5" t="n"/>
      <c r="O115" s="21" t="n"/>
      <c r="P115" s="5" t="n"/>
      <c r="Q115" s="5" t="n"/>
      <c r="R115" s="6" t="n"/>
      <c r="S115" s="4" t="n"/>
      <c r="T115" s="4" t="n"/>
      <c r="U115" s="3">
        <f>IF(C115="","",IF(T115="",TODAY()-C115,T115-C115))</f>
        <v/>
      </c>
      <c r="V115" s="5" t="n"/>
      <c r="W115" s="6" t="n"/>
      <c r="X115" s="3">
        <f>IF(P115="","",IFERROR(VLOOKUP(P115,Parâmetros!$J$2:$K$5,2,FALSE),""))</f>
        <v/>
      </c>
      <c r="Y115" s="4">
        <f>IF(OR(C115="",X115=""),"",C115+X115)</f>
        <v/>
      </c>
      <c r="Z115" s="5">
        <f>IF(C115="","",IF(Q115="Concluído","Concluído",IF(Y115&lt;TODAY(),"Vencido",IF(Y115-TODAY()&lt;=2,"A vencer","No prazo"))))</f>
        <v/>
      </c>
      <c r="AA115" s="3">
        <f>IF(OR(Y115="",Q115="Concluído"),"",Y115-TODAY())</f>
        <v/>
      </c>
      <c r="AB115" s="5" t="n"/>
      <c r="AC115" s="5" t="n"/>
      <c r="AD115" s="4" t="n"/>
    </row>
    <row r="116">
      <c r="A116" s="3">
        <f>IF(C116="","",ROW()-1)</f>
        <v/>
      </c>
      <c r="B116" s="4" t="n"/>
      <c r="C116" s="4" t="n"/>
      <c r="D116" s="5" t="n"/>
      <c r="E116" s="5" t="n"/>
      <c r="F116" s="5" t="n"/>
      <c r="G116" s="5" t="n"/>
      <c r="H116" s="5" t="n"/>
      <c r="I116" s="5" t="n"/>
      <c r="J116" s="5" t="n"/>
      <c r="K116" s="6" t="n"/>
      <c r="L116" s="6" t="n"/>
      <c r="M116" s="6" t="n"/>
      <c r="N116" s="5" t="n"/>
      <c r="O116" s="21" t="n"/>
      <c r="P116" s="5" t="n"/>
      <c r="Q116" s="5" t="n"/>
      <c r="R116" s="6" t="n"/>
      <c r="S116" s="4" t="n"/>
      <c r="T116" s="4" t="n"/>
      <c r="U116" s="3">
        <f>IF(C116="","",IF(T116="",TODAY()-C116,T116-C116))</f>
        <v/>
      </c>
      <c r="V116" s="5" t="n"/>
      <c r="W116" s="6" t="n"/>
      <c r="X116" s="3">
        <f>IF(P116="","",IFERROR(VLOOKUP(P116,Parâmetros!$J$2:$K$5,2,FALSE),""))</f>
        <v/>
      </c>
      <c r="Y116" s="4">
        <f>IF(OR(C116="",X116=""),"",C116+X116)</f>
        <v/>
      </c>
      <c r="Z116" s="5">
        <f>IF(C116="","",IF(Q116="Concluído","Concluído",IF(Y116&lt;TODAY(),"Vencido",IF(Y116-TODAY()&lt;=2,"A vencer","No prazo"))))</f>
        <v/>
      </c>
      <c r="AA116" s="3">
        <f>IF(OR(Y116="",Q116="Concluído"),"",Y116-TODAY())</f>
        <v/>
      </c>
      <c r="AB116" s="5" t="n"/>
      <c r="AC116" s="5" t="n"/>
      <c r="AD116" s="4" t="n"/>
    </row>
    <row r="117">
      <c r="A117" s="3">
        <f>IF(C117="","",ROW()-1)</f>
        <v/>
      </c>
      <c r="B117" s="4" t="n"/>
      <c r="C117" s="4" t="n"/>
      <c r="D117" s="5" t="n"/>
      <c r="E117" s="5" t="n"/>
      <c r="F117" s="5" t="n"/>
      <c r="G117" s="5" t="n"/>
      <c r="H117" s="5" t="n"/>
      <c r="I117" s="5" t="n"/>
      <c r="J117" s="5" t="n"/>
      <c r="K117" s="6" t="n"/>
      <c r="L117" s="6" t="n"/>
      <c r="M117" s="6" t="n"/>
      <c r="N117" s="5" t="n"/>
      <c r="O117" s="21" t="n"/>
      <c r="P117" s="5" t="n"/>
      <c r="Q117" s="5" t="n"/>
      <c r="R117" s="6" t="n"/>
      <c r="S117" s="4" t="n"/>
      <c r="T117" s="4" t="n"/>
      <c r="U117" s="3">
        <f>IF(C117="","",IF(T117="",TODAY()-C117,T117-C117))</f>
        <v/>
      </c>
      <c r="V117" s="5" t="n"/>
      <c r="W117" s="6" t="n"/>
      <c r="X117" s="3">
        <f>IF(P117="","",IFERROR(VLOOKUP(P117,Parâmetros!$J$2:$K$5,2,FALSE),""))</f>
        <v/>
      </c>
      <c r="Y117" s="4">
        <f>IF(OR(C117="",X117=""),"",C117+X117)</f>
        <v/>
      </c>
      <c r="Z117" s="5">
        <f>IF(C117="","",IF(Q117="Concluído","Concluído",IF(Y117&lt;TODAY(),"Vencido",IF(Y117-TODAY()&lt;=2,"A vencer","No prazo"))))</f>
        <v/>
      </c>
      <c r="AA117" s="3">
        <f>IF(OR(Y117="",Q117="Concluído"),"",Y117-TODAY())</f>
        <v/>
      </c>
      <c r="AB117" s="5" t="n"/>
      <c r="AC117" s="5" t="n"/>
      <c r="AD117" s="4" t="n"/>
    </row>
    <row r="118">
      <c r="A118" s="3">
        <f>IF(C118="","",ROW()-1)</f>
        <v/>
      </c>
      <c r="B118" s="4" t="n"/>
      <c r="C118" s="4" t="n"/>
      <c r="D118" s="5" t="n"/>
      <c r="E118" s="5" t="n"/>
      <c r="F118" s="5" t="n"/>
      <c r="G118" s="5" t="n"/>
      <c r="H118" s="5" t="n"/>
      <c r="I118" s="5" t="n"/>
      <c r="J118" s="5" t="n"/>
      <c r="K118" s="6" t="n"/>
      <c r="L118" s="6" t="n"/>
      <c r="M118" s="6" t="n"/>
      <c r="N118" s="5" t="n"/>
      <c r="O118" s="21" t="n"/>
      <c r="P118" s="5" t="n"/>
      <c r="Q118" s="5" t="n"/>
      <c r="R118" s="6" t="n"/>
      <c r="S118" s="4" t="n"/>
      <c r="T118" s="4" t="n"/>
      <c r="U118" s="3">
        <f>IF(C118="","",IF(T118="",TODAY()-C118,T118-C118))</f>
        <v/>
      </c>
      <c r="V118" s="5" t="n"/>
      <c r="W118" s="6" t="n"/>
      <c r="X118" s="3">
        <f>IF(P118="","",IFERROR(VLOOKUP(P118,Parâmetros!$J$2:$K$5,2,FALSE),""))</f>
        <v/>
      </c>
      <c r="Y118" s="4">
        <f>IF(OR(C118="",X118=""),"",C118+X118)</f>
        <v/>
      </c>
      <c r="Z118" s="5">
        <f>IF(C118="","",IF(Q118="Concluído","Concluído",IF(Y118&lt;TODAY(),"Vencido",IF(Y118-TODAY()&lt;=2,"A vencer","No prazo"))))</f>
        <v/>
      </c>
      <c r="AA118" s="3">
        <f>IF(OR(Y118="",Q118="Concluído"),"",Y118-TODAY())</f>
        <v/>
      </c>
      <c r="AB118" s="5" t="n"/>
      <c r="AC118" s="5" t="n"/>
      <c r="AD118" s="4" t="n"/>
    </row>
    <row r="119">
      <c r="A119" s="3">
        <f>IF(C119="","",ROW()-1)</f>
        <v/>
      </c>
      <c r="B119" s="4" t="n"/>
      <c r="C119" s="4" t="n"/>
      <c r="D119" s="5" t="n"/>
      <c r="E119" s="5" t="n"/>
      <c r="F119" s="5" t="n"/>
      <c r="G119" s="5" t="n"/>
      <c r="H119" s="5" t="n"/>
      <c r="I119" s="5" t="n"/>
      <c r="J119" s="5" t="n"/>
      <c r="K119" s="6" t="n"/>
      <c r="L119" s="6" t="n"/>
      <c r="M119" s="6" t="n"/>
      <c r="N119" s="5" t="n"/>
      <c r="O119" s="21" t="n"/>
      <c r="P119" s="5" t="n"/>
      <c r="Q119" s="5" t="n"/>
      <c r="R119" s="6" t="n"/>
      <c r="S119" s="4" t="n"/>
      <c r="T119" s="4" t="n"/>
      <c r="U119" s="3">
        <f>IF(C119="","",IF(T119="",TODAY()-C119,T119-C119))</f>
        <v/>
      </c>
      <c r="V119" s="5" t="n"/>
      <c r="W119" s="6" t="n"/>
      <c r="X119" s="3">
        <f>IF(P119="","",IFERROR(VLOOKUP(P119,Parâmetros!$J$2:$K$5,2,FALSE),""))</f>
        <v/>
      </c>
      <c r="Y119" s="4">
        <f>IF(OR(C119="",X119=""),"",C119+X119)</f>
        <v/>
      </c>
      <c r="Z119" s="5">
        <f>IF(C119="","",IF(Q119="Concluído","Concluído",IF(Y119&lt;TODAY(),"Vencido",IF(Y119-TODAY()&lt;=2,"A vencer","No prazo"))))</f>
        <v/>
      </c>
      <c r="AA119" s="3">
        <f>IF(OR(Y119="",Q119="Concluído"),"",Y119-TODAY())</f>
        <v/>
      </c>
      <c r="AB119" s="5" t="n"/>
      <c r="AC119" s="5" t="n"/>
      <c r="AD119" s="4" t="n"/>
    </row>
    <row r="120">
      <c r="A120" s="3">
        <f>IF(C120="","",ROW()-1)</f>
        <v/>
      </c>
      <c r="B120" s="4" t="n"/>
      <c r="C120" s="4" t="n"/>
      <c r="D120" s="5" t="n"/>
      <c r="E120" s="5" t="n"/>
      <c r="F120" s="5" t="n"/>
      <c r="G120" s="5" t="n"/>
      <c r="H120" s="5" t="n"/>
      <c r="I120" s="5" t="n"/>
      <c r="J120" s="5" t="n"/>
      <c r="K120" s="6" t="n"/>
      <c r="L120" s="6" t="n"/>
      <c r="M120" s="6" t="n"/>
      <c r="N120" s="5" t="n"/>
      <c r="O120" s="21" t="n"/>
      <c r="P120" s="5" t="n"/>
      <c r="Q120" s="5" t="n"/>
      <c r="R120" s="6" t="n"/>
      <c r="S120" s="4" t="n"/>
      <c r="T120" s="4" t="n"/>
      <c r="U120" s="3">
        <f>IF(C120="","",IF(T120="",TODAY()-C120,T120-C120))</f>
        <v/>
      </c>
      <c r="V120" s="5" t="n"/>
      <c r="W120" s="6" t="n"/>
      <c r="X120" s="3">
        <f>IF(P120="","",IFERROR(VLOOKUP(P120,Parâmetros!$J$2:$K$5,2,FALSE),""))</f>
        <v/>
      </c>
      <c r="Y120" s="4">
        <f>IF(OR(C120="",X120=""),"",C120+X120)</f>
        <v/>
      </c>
      <c r="Z120" s="5">
        <f>IF(C120="","",IF(Q120="Concluído","Concluído",IF(Y120&lt;TODAY(),"Vencido",IF(Y120-TODAY()&lt;=2,"A vencer","No prazo"))))</f>
        <v/>
      </c>
      <c r="AA120" s="3">
        <f>IF(OR(Y120="",Q120="Concluído"),"",Y120-TODAY())</f>
        <v/>
      </c>
      <c r="AB120" s="5" t="n"/>
      <c r="AC120" s="5" t="n"/>
      <c r="AD120" s="4" t="n"/>
    </row>
    <row r="121">
      <c r="A121" s="3">
        <f>IF(C121="","",ROW()-1)</f>
        <v/>
      </c>
      <c r="B121" s="4" t="n"/>
      <c r="C121" s="4" t="n"/>
      <c r="D121" s="5" t="n"/>
      <c r="E121" s="5" t="n"/>
      <c r="F121" s="5" t="n"/>
      <c r="G121" s="5" t="n"/>
      <c r="H121" s="5" t="n"/>
      <c r="I121" s="5" t="n"/>
      <c r="J121" s="5" t="n"/>
      <c r="K121" s="6" t="n"/>
      <c r="L121" s="6" t="n"/>
      <c r="M121" s="6" t="n"/>
      <c r="N121" s="5" t="n"/>
      <c r="O121" s="21" t="n"/>
      <c r="P121" s="5" t="n"/>
      <c r="Q121" s="5" t="n"/>
      <c r="R121" s="6" t="n"/>
      <c r="S121" s="4" t="n"/>
      <c r="T121" s="4" t="n"/>
      <c r="U121" s="3">
        <f>IF(C121="","",IF(T121="",TODAY()-C121,T121-C121))</f>
        <v/>
      </c>
      <c r="V121" s="5" t="n"/>
      <c r="W121" s="6" t="n"/>
      <c r="X121" s="3">
        <f>IF(P121="","",IFERROR(VLOOKUP(P121,Parâmetros!$J$2:$K$5,2,FALSE),""))</f>
        <v/>
      </c>
      <c r="Y121" s="4">
        <f>IF(OR(C121="",X121=""),"",C121+X121)</f>
        <v/>
      </c>
      <c r="Z121" s="5">
        <f>IF(C121="","",IF(Q121="Concluído","Concluído",IF(Y121&lt;TODAY(),"Vencido",IF(Y121-TODAY()&lt;=2,"A vencer","No prazo"))))</f>
        <v/>
      </c>
      <c r="AA121" s="3">
        <f>IF(OR(Y121="",Q121="Concluído"),"",Y121-TODAY())</f>
        <v/>
      </c>
      <c r="AB121" s="5" t="n"/>
      <c r="AC121" s="5" t="n"/>
      <c r="AD121" s="4" t="n"/>
    </row>
    <row r="122">
      <c r="A122" s="3">
        <f>IF(C122="","",ROW()-1)</f>
        <v/>
      </c>
      <c r="B122" s="4" t="n"/>
      <c r="C122" s="4" t="n"/>
      <c r="D122" s="5" t="n"/>
      <c r="E122" s="5" t="n"/>
      <c r="F122" s="5" t="n"/>
      <c r="G122" s="5" t="n"/>
      <c r="H122" s="5" t="n"/>
      <c r="I122" s="5" t="n"/>
      <c r="J122" s="5" t="n"/>
      <c r="K122" s="6" t="n"/>
      <c r="L122" s="6" t="n"/>
      <c r="M122" s="6" t="n"/>
      <c r="N122" s="5" t="n"/>
      <c r="O122" s="21" t="n"/>
      <c r="P122" s="5" t="n"/>
      <c r="Q122" s="5" t="n"/>
      <c r="R122" s="6" t="n"/>
      <c r="S122" s="4" t="n"/>
      <c r="T122" s="4" t="n"/>
      <c r="U122" s="3">
        <f>IF(C122="","",IF(T122="",TODAY()-C122,T122-C122))</f>
        <v/>
      </c>
      <c r="V122" s="5" t="n"/>
      <c r="W122" s="6" t="n"/>
      <c r="X122" s="3">
        <f>IF(P122="","",IFERROR(VLOOKUP(P122,Parâmetros!$J$2:$K$5,2,FALSE),""))</f>
        <v/>
      </c>
      <c r="Y122" s="4">
        <f>IF(OR(C122="",X122=""),"",C122+X122)</f>
        <v/>
      </c>
      <c r="Z122" s="5">
        <f>IF(C122="","",IF(Q122="Concluído","Concluído",IF(Y122&lt;TODAY(),"Vencido",IF(Y122-TODAY()&lt;=2,"A vencer","No prazo"))))</f>
        <v/>
      </c>
      <c r="AA122" s="3">
        <f>IF(OR(Y122="",Q122="Concluído"),"",Y122-TODAY())</f>
        <v/>
      </c>
      <c r="AB122" s="5" t="n"/>
      <c r="AC122" s="5" t="n"/>
      <c r="AD122" s="4" t="n"/>
    </row>
    <row r="123">
      <c r="A123" s="3">
        <f>IF(C123="","",ROW()-1)</f>
        <v/>
      </c>
      <c r="B123" s="4" t="n"/>
      <c r="C123" s="4" t="n"/>
      <c r="D123" s="5" t="n"/>
      <c r="E123" s="5" t="n"/>
      <c r="F123" s="5" t="n"/>
      <c r="G123" s="5" t="n"/>
      <c r="H123" s="5" t="n"/>
      <c r="I123" s="5" t="n"/>
      <c r="J123" s="5" t="n"/>
      <c r="K123" s="6" t="n"/>
      <c r="L123" s="6" t="n"/>
      <c r="M123" s="6" t="n"/>
      <c r="N123" s="5" t="n"/>
      <c r="O123" s="21" t="n"/>
      <c r="P123" s="5" t="n"/>
      <c r="Q123" s="5" t="n"/>
      <c r="R123" s="6" t="n"/>
      <c r="S123" s="4" t="n"/>
      <c r="T123" s="4" t="n"/>
      <c r="U123" s="3">
        <f>IF(C123="","",IF(T123="",TODAY()-C123,T123-C123))</f>
        <v/>
      </c>
      <c r="V123" s="5" t="n"/>
      <c r="W123" s="6" t="n"/>
      <c r="X123" s="3">
        <f>IF(P123="","",IFERROR(VLOOKUP(P123,Parâmetros!$J$2:$K$5,2,FALSE),""))</f>
        <v/>
      </c>
      <c r="Y123" s="4">
        <f>IF(OR(C123="",X123=""),"",C123+X123)</f>
        <v/>
      </c>
      <c r="Z123" s="5">
        <f>IF(C123="","",IF(Q123="Concluído","Concluído",IF(Y123&lt;TODAY(),"Vencido",IF(Y123-TODAY()&lt;=2,"A vencer","No prazo"))))</f>
        <v/>
      </c>
      <c r="AA123" s="3">
        <f>IF(OR(Y123="",Q123="Concluído"),"",Y123-TODAY())</f>
        <v/>
      </c>
      <c r="AB123" s="5" t="n"/>
      <c r="AC123" s="5" t="n"/>
      <c r="AD123" s="4" t="n"/>
    </row>
    <row r="124">
      <c r="A124" s="3">
        <f>IF(C124="","",ROW()-1)</f>
        <v/>
      </c>
      <c r="B124" s="4" t="n"/>
      <c r="C124" s="4" t="n"/>
      <c r="D124" s="5" t="n"/>
      <c r="E124" s="5" t="n"/>
      <c r="F124" s="5" t="n"/>
      <c r="G124" s="5" t="n"/>
      <c r="H124" s="5" t="n"/>
      <c r="I124" s="5" t="n"/>
      <c r="J124" s="5" t="n"/>
      <c r="K124" s="6" t="n"/>
      <c r="L124" s="6" t="n"/>
      <c r="M124" s="6" t="n"/>
      <c r="N124" s="5" t="n"/>
      <c r="O124" s="21" t="n"/>
      <c r="P124" s="5" t="n"/>
      <c r="Q124" s="5" t="n"/>
      <c r="R124" s="6" t="n"/>
      <c r="S124" s="4" t="n"/>
      <c r="T124" s="4" t="n"/>
      <c r="U124" s="3">
        <f>IF(C124="","",IF(T124="",TODAY()-C124,T124-C124))</f>
        <v/>
      </c>
      <c r="V124" s="5" t="n"/>
      <c r="W124" s="6" t="n"/>
      <c r="X124" s="3">
        <f>IF(P124="","",IFERROR(VLOOKUP(P124,Parâmetros!$J$2:$K$5,2,FALSE),""))</f>
        <v/>
      </c>
      <c r="Y124" s="4">
        <f>IF(OR(C124="",X124=""),"",C124+X124)</f>
        <v/>
      </c>
      <c r="Z124" s="5">
        <f>IF(C124="","",IF(Q124="Concluído","Concluído",IF(Y124&lt;TODAY(),"Vencido",IF(Y124-TODAY()&lt;=2,"A vencer","No prazo"))))</f>
        <v/>
      </c>
      <c r="AA124" s="3">
        <f>IF(OR(Y124="",Q124="Concluído"),"",Y124-TODAY())</f>
        <v/>
      </c>
      <c r="AB124" s="5" t="n"/>
      <c r="AC124" s="5" t="n"/>
      <c r="AD124" s="4" t="n"/>
    </row>
    <row r="125">
      <c r="A125" s="3">
        <f>IF(C125="","",ROW()-1)</f>
        <v/>
      </c>
      <c r="B125" s="4" t="n"/>
      <c r="C125" s="4" t="n"/>
      <c r="D125" s="5" t="n"/>
      <c r="E125" s="5" t="n"/>
      <c r="F125" s="5" t="n"/>
      <c r="G125" s="5" t="n"/>
      <c r="H125" s="5" t="n"/>
      <c r="I125" s="5" t="n"/>
      <c r="J125" s="5" t="n"/>
      <c r="K125" s="6" t="n"/>
      <c r="L125" s="6" t="n"/>
      <c r="M125" s="6" t="n"/>
      <c r="N125" s="5" t="n"/>
      <c r="O125" s="21" t="n"/>
      <c r="P125" s="5" t="n"/>
      <c r="Q125" s="5" t="n"/>
      <c r="R125" s="6" t="n"/>
      <c r="S125" s="4" t="n"/>
      <c r="T125" s="4" t="n"/>
      <c r="U125" s="3">
        <f>IF(C125="","",IF(T125="",TODAY()-C125,T125-C125))</f>
        <v/>
      </c>
      <c r="V125" s="5" t="n"/>
      <c r="W125" s="6" t="n"/>
      <c r="X125" s="3">
        <f>IF(P125="","",IFERROR(VLOOKUP(P125,Parâmetros!$J$2:$K$5,2,FALSE),""))</f>
        <v/>
      </c>
      <c r="Y125" s="4">
        <f>IF(OR(C125="",X125=""),"",C125+X125)</f>
        <v/>
      </c>
      <c r="Z125" s="5">
        <f>IF(C125="","",IF(Q125="Concluído","Concluído",IF(Y125&lt;TODAY(),"Vencido",IF(Y125-TODAY()&lt;=2,"A vencer","No prazo"))))</f>
        <v/>
      </c>
      <c r="AA125" s="3">
        <f>IF(OR(Y125="",Q125="Concluído"),"",Y125-TODAY())</f>
        <v/>
      </c>
      <c r="AB125" s="5" t="n"/>
      <c r="AC125" s="5" t="n"/>
      <c r="AD125" s="4" t="n"/>
    </row>
    <row r="126">
      <c r="A126" s="3">
        <f>IF(C126="","",ROW()-1)</f>
        <v/>
      </c>
      <c r="B126" s="4" t="n"/>
      <c r="C126" s="4" t="n"/>
      <c r="D126" s="5" t="n"/>
      <c r="E126" s="5" t="n"/>
      <c r="F126" s="5" t="n"/>
      <c r="G126" s="5" t="n"/>
      <c r="H126" s="5" t="n"/>
      <c r="I126" s="5" t="n"/>
      <c r="J126" s="5" t="n"/>
      <c r="K126" s="6" t="n"/>
      <c r="L126" s="6" t="n"/>
      <c r="M126" s="6" t="n"/>
      <c r="N126" s="5" t="n"/>
      <c r="O126" s="21" t="n"/>
      <c r="P126" s="5" t="n"/>
      <c r="Q126" s="5" t="n"/>
      <c r="R126" s="6" t="n"/>
      <c r="S126" s="4" t="n"/>
      <c r="T126" s="4" t="n"/>
      <c r="U126" s="3">
        <f>IF(C126="","",IF(T126="",TODAY()-C126,T126-C126))</f>
        <v/>
      </c>
      <c r="V126" s="5" t="n"/>
      <c r="W126" s="6" t="n"/>
      <c r="X126" s="3">
        <f>IF(P126="","",IFERROR(VLOOKUP(P126,Parâmetros!$J$2:$K$5,2,FALSE),""))</f>
        <v/>
      </c>
      <c r="Y126" s="4">
        <f>IF(OR(C126="",X126=""),"",C126+X126)</f>
        <v/>
      </c>
      <c r="Z126" s="5">
        <f>IF(C126="","",IF(Q126="Concluído","Concluído",IF(Y126&lt;TODAY(),"Vencido",IF(Y126-TODAY()&lt;=2,"A vencer","No prazo"))))</f>
        <v/>
      </c>
      <c r="AA126" s="3">
        <f>IF(OR(Y126="",Q126="Concluído"),"",Y126-TODAY())</f>
        <v/>
      </c>
      <c r="AB126" s="5" t="n"/>
      <c r="AC126" s="5" t="n"/>
      <c r="AD126" s="4" t="n"/>
    </row>
    <row r="127">
      <c r="A127" s="3">
        <f>IF(C127="","",ROW()-1)</f>
        <v/>
      </c>
      <c r="B127" s="4" t="n"/>
      <c r="C127" s="4" t="n"/>
      <c r="D127" s="5" t="n"/>
      <c r="E127" s="5" t="n"/>
      <c r="F127" s="5" t="n"/>
      <c r="G127" s="5" t="n"/>
      <c r="H127" s="5" t="n"/>
      <c r="I127" s="5" t="n"/>
      <c r="J127" s="5" t="n"/>
      <c r="K127" s="6" t="n"/>
      <c r="L127" s="6" t="n"/>
      <c r="M127" s="6" t="n"/>
      <c r="N127" s="5" t="n"/>
      <c r="O127" s="21" t="n"/>
      <c r="P127" s="5" t="n"/>
      <c r="Q127" s="5" t="n"/>
      <c r="R127" s="6" t="n"/>
      <c r="S127" s="4" t="n"/>
      <c r="T127" s="4" t="n"/>
      <c r="U127" s="3">
        <f>IF(C127="","",IF(T127="",TODAY()-C127,T127-C127))</f>
        <v/>
      </c>
      <c r="V127" s="5" t="n"/>
      <c r="W127" s="6" t="n"/>
      <c r="X127" s="3">
        <f>IF(P127="","",IFERROR(VLOOKUP(P127,Parâmetros!$J$2:$K$5,2,FALSE),""))</f>
        <v/>
      </c>
      <c r="Y127" s="4">
        <f>IF(OR(C127="",X127=""),"",C127+X127)</f>
        <v/>
      </c>
      <c r="Z127" s="5">
        <f>IF(C127="","",IF(Q127="Concluído","Concluído",IF(Y127&lt;TODAY(),"Vencido",IF(Y127-TODAY()&lt;=2,"A vencer","No prazo"))))</f>
        <v/>
      </c>
      <c r="AA127" s="3">
        <f>IF(OR(Y127="",Q127="Concluído"),"",Y127-TODAY())</f>
        <v/>
      </c>
      <c r="AB127" s="5" t="n"/>
      <c r="AC127" s="5" t="n"/>
      <c r="AD127" s="4" t="n"/>
    </row>
    <row r="128">
      <c r="A128" s="3">
        <f>IF(C128="","",ROW()-1)</f>
        <v/>
      </c>
      <c r="B128" s="4" t="n"/>
      <c r="C128" s="4" t="n"/>
      <c r="D128" s="5" t="n"/>
      <c r="E128" s="5" t="n"/>
      <c r="F128" s="5" t="n"/>
      <c r="G128" s="5" t="n"/>
      <c r="H128" s="5" t="n"/>
      <c r="I128" s="5" t="n"/>
      <c r="J128" s="5" t="n"/>
      <c r="K128" s="6" t="n"/>
      <c r="L128" s="6" t="n"/>
      <c r="M128" s="6" t="n"/>
      <c r="N128" s="5" t="n"/>
      <c r="O128" s="21" t="n"/>
      <c r="P128" s="5" t="n"/>
      <c r="Q128" s="5" t="n"/>
      <c r="R128" s="6" t="n"/>
      <c r="S128" s="4" t="n"/>
      <c r="T128" s="4" t="n"/>
      <c r="U128" s="3">
        <f>IF(C128="","",IF(T128="",TODAY()-C128,T128-C128))</f>
        <v/>
      </c>
      <c r="V128" s="5" t="n"/>
      <c r="W128" s="6" t="n"/>
      <c r="X128" s="3">
        <f>IF(P128="","",IFERROR(VLOOKUP(P128,Parâmetros!$J$2:$K$5,2,FALSE),""))</f>
        <v/>
      </c>
      <c r="Y128" s="4">
        <f>IF(OR(C128="",X128=""),"",C128+X128)</f>
        <v/>
      </c>
      <c r="Z128" s="5">
        <f>IF(C128="","",IF(Q128="Concluído","Concluído",IF(Y128&lt;TODAY(),"Vencido",IF(Y128-TODAY()&lt;=2,"A vencer","No prazo"))))</f>
        <v/>
      </c>
      <c r="AA128" s="3">
        <f>IF(OR(Y128="",Q128="Concluído"),"",Y128-TODAY())</f>
        <v/>
      </c>
      <c r="AB128" s="5" t="n"/>
      <c r="AC128" s="5" t="n"/>
      <c r="AD128" s="4" t="n"/>
    </row>
    <row r="129">
      <c r="A129" s="3">
        <f>IF(C129="","",ROW()-1)</f>
        <v/>
      </c>
      <c r="B129" s="4" t="n"/>
      <c r="C129" s="4" t="n"/>
      <c r="D129" s="5" t="n"/>
      <c r="E129" s="5" t="n"/>
      <c r="F129" s="5" t="n"/>
      <c r="G129" s="5" t="n"/>
      <c r="H129" s="5" t="n"/>
      <c r="I129" s="5" t="n"/>
      <c r="J129" s="5" t="n"/>
      <c r="K129" s="6" t="n"/>
      <c r="L129" s="6" t="n"/>
      <c r="M129" s="6" t="n"/>
      <c r="N129" s="5" t="n"/>
      <c r="O129" s="21" t="n"/>
      <c r="P129" s="5" t="n"/>
      <c r="Q129" s="5" t="n"/>
      <c r="R129" s="6" t="n"/>
      <c r="S129" s="4" t="n"/>
      <c r="T129" s="4" t="n"/>
      <c r="U129" s="3">
        <f>IF(C129="","",IF(T129="",TODAY()-C129,T129-C129))</f>
        <v/>
      </c>
      <c r="V129" s="5" t="n"/>
      <c r="W129" s="6" t="n"/>
      <c r="X129" s="3">
        <f>IF(P129="","",IFERROR(VLOOKUP(P129,Parâmetros!$J$2:$K$5,2,FALSE),""))</f>
        <v/>
      </c>
      <c r="Y129" s="4">
        <f>IF(OR(C129="",X129=""),"",C129+X129)</f>
        <v/>
      </c>
      <c r="Z129" s="5">
        <f>IF(C129="","",IF(Q129="Concluído","Concluído",IF(Y129&lt;TODAY(),"Vencido",IF(Y129-TODAY()&lt;=2,"A vencer","No prazo"))))</f>
        <v/>
      </c>
      <c r="AA129" s="3">
        <f>IF(OR(Y129="",Q129="Concluído"),"",Y129-TODAY())</f>
        <v/>
      </c>
      <c r="AB129" s="5" t="n"/>
      <c r="AC129" s="5" t="n"/>
      <c r="AD129" s="4" t="n"/>
    </row>
    <row r="130">
      <c r="A130" s="3">
        <f>IF(C130="","",ROW()-1)</f>
        <v/>
      </c>
      <c r="B130" s="4" t="n"/>
      <c r="C130" s="4" t="n"/>
      <c r="D130" s="5" t="n"/>
      <c r="E130" s="5" t="n"/>
      <c r="F130" s="5" t="n"/>
      <c r="G130" s="5" t="n"/>
      <c r="H130" s="5" t="n"/>
      <c r="I130" s="5" t="n"/>
      <c r="J130" s="5" t="n"/>
      <c r="K130" s="6" t="n"/>
      <c r="L130" s="6" t="n"/>
      <c r="M130" s="6" t="n"/>
      <c r="N130" s="5" t="n"/>
      <c r="O130" s="21" t="n"/>
      <c r="P130" s="5" t="n"/>
      <c r="Q130" s="5" t="n"/>
      <c r="R130" s="6" t="n"/>
      <c r="S130" s="4" t="n"/>
      <c r="T130" s="4" t="n"/>
      <c r="U130" s="3">
        <f>IF(C130="","",IF(T130="",TODAY()-C130,T130-C130))</f>
        <v/>
      </c>
      <c r="V130" s="5" t="n"/>
      <c r="W130" s="6" t="n"/>
      <c r="X130" s="3">
        <f>IF(P130="","",IFERROR(VLOOKUP(P130,Parâmetros!$J$2:$K$5,2,FALSE),""))</f>
        <v/>
      </c>
      <c r="Y130" s="4">
        <f>IF(OR(C130="",X130=""),"",C130+X130)</f>
        <v/>
      </c>
      <c r="Z130" s="5">
        <f>IF(C130="","",IF(Q130="Concluído","Concluído",IF(Y130&lt;TODAY(),"Vencido",IF(Y130-TODAY()&lt;=2,"A vencer","No prazo"))))</f>
        <v/>
      </c>
      <c r="AA130" s="3">
        <f>IF(OR(Y130="",Q130="Concluído"),"",Y130-TODAY())</f>
        <v/>
      </c>
      <c r="AB130" s="5" t="n"/>
      <c r="AC130" s="5" t="n"/>
      <c r="AD130" s="4" t="n"/>
    </row>
    <row r="131">
      <c r="A131" s="3">
        <f>IF(C131="","",ROW()-1)</f>
        <v/>
      </c>
      <c r="B131" s="4" t="n"/>
      <c r="C131" s="4" t="n"/>
      <c r="D131" s="5" t="n"/>
      <c r="E131" s="5" t="n"/>
      <c r="F131" s="5" t="n"/>
      <c r="G131" s="5" t="n"/>
      <c r="H131" s="5" t="n"/>
      <c r="I131" s="5" t="n"/>
      <c r="J131" s="5" t="n"/>
      <c r="K131" s="6" t="n"/>
      <c r="L131" s="6" t="n"/>
      <c r="M131" s="6" t="n"/>
      <c r="N131" s="5" t="n"/>
      <c r="O131" s="21" t="n"/>
      <c r="P131" s="5" t="n"/>
      <c r="Q131" s="5" t="n"/>
      <c r="R131" s="6" t="n"/>
      <c r="S131" s="4" t="n"/>
      <c r="T131" s="4" t="n"/>
      <c r="U131" s="3">
        <f>IF(C131="","",IF(T131="",TODAY()-C131,T131-C131))</f>
        <v/>
      </c>
      <c r="V131" s="5" t="n"/>
      <c r="W131" s="6" t="n"/>
      <c r="X131" s="3">
        <f>IF(P131="","",IFERROR(VLOOKUP(P131,Parâmetros!$J$2:$K$5,2,FALSE),""))</f>
        <v/>
      </c>
      <c r="Y131" s="4">
        <f>IF(OR(C131="",X131=""),"",C131+X131)</f>
        <v/>
      </c>
      <c r="Z131" s="5">
        <f>IF(C131="","",IF(Q131="Concluído","Concluído",IF(Y131&lt;TODAY(),"Vencido",IF(Y131-TODAY()&lt;=2,"A vencer","No prazo"))))</f>
        <v/>
      </c>
      <c r="AA131" s="3">
        <f>IF(OR(Y131="",Q131="Concluído"),"",Y131-TODAY())</f>
        <v/>
      </c>
      <c r="AB131" s="5" t="n"/>
      <c r="AC131" s="5" t="n"/>
      <c r="AD131" s="4" t="n"/>
    </row>
    <row r="132">
      <c r="A132" s="3">
        <f>IF(C132="","",ROW()-1)</f>
        <v/>
      </c>
      <c r="B132" s="4" t="n"/>
      <c r="C132" s="4" t="n"/>
      <c r="D132" s="5" t="n"/>
      <c r="E132" s="5" t="n"/>
      <c r="F132" s="5" t="n"/>
      <c r="G132" s="5" t="n"/>
      <c r="H132" s="5" t="n"/>
      <c r="I132" s="5" t="n"/>
      <c r="J132" s="5" t="n"/>
      <c r="K132" s="6" t="n"/>
      <c r="L132" s="6" t="n"/>
      <c r="M132" s="6" t="n"/>
      <c r="N132" s="5" t="n"/>
      <c r="O132" s="21" t="n"/>
      <c r="P132" s="5" t="n"/>
      <c r="Q132" s="5" t="n"/>
      <c r="R132" s="6" t="n"/>
      <c r="S132" s="4" t="n"/>
      <c r="T132" s="4" t="n"/>
      <c r="U132" s="3">
        <f>IF(C132="","",IF(T132="",TODAY()-C132,T132-C132))</f>
        <v/>
      </c>
      <c r="V132" s="5" t="n"/>
      <c r="W132" s="6" t="n"/>
      <c r="X132" s="3">
        <f>IF(P132="","",IFERROR(VLOOKUP(P132,Parâmetros!$J$2:$K$5,2,FALSE),""))</f>
        <v/>
      </c>
      <c r="Y132" s="4">
        <f>IF(OR(C132="",X132=""),"",C132+X132)</f>
        <v/>
      </c>
      <c r="Z132" s="5">
        <f>IF(C132="","",IF(Q132="Concluído","Concluído",IF(Y132&lt;TODAY(),"Vencido",IF(Y132-TODAY()&lt;=2,"A vencer","No prazo"))))</f>
        <v/>
      </c>
      <c r="AA132" s="3">
        <f>IF(OR(Y132="",Q132="Concluído"),"",Y132-TODAY())</f>
        <v/>
      </c>
      <c r="AB132" s="5" t="n"/>
      <c r="AC132" s="5" t="n"/>
      <c r="AD132" s="4" t="n"/>
    </row>
    <row r="133">
      <c r="A133" s="3">
        <f>IF(C133="","",ROW()-1)</f>
        <v/>
      </c>
      <c r="B133" s="4" t="n"/>
      <c r="C133" s="4" t="n"/>
      <c r="D133" s="5" t="n"/>
      <c r="E133" s="5" t="n"/>
      <c r="F133" s="5" t="n"/>
      <c r="G133" s="5" t="n"/>
      <c r="H133" s="5" t="n"/>
      <c r="I133" s="5" t="n"/>
      <c r="J133" s="5" t="n"/>
      <c r="K133" s="6" t="n"/>
      <c r="L133" s="6" t="n"/>
      <c r="M133" s="6" t="n"/>
      <c r="N133" s="5" t="n"/>
      <c r="O133" s="21" t="n"/>
      <c r="P133" s="5" t="n"/>
      <c r="Q133" s="5" t="n"/>
      <c r="R133" s="6" t="n"/>
      <c r="S133" s="4" t="n"/>
      <c r="T133" s="4" t="n"/>
      <c r="U133" s="3">
        <f>IF(C133="","",IF(T133="",TODAY()-C133,T133-C133))</f>
        <v/>
      </c>
      <c r="V133" s="5" t="n"/>
      <c r="W133" s="6" t="n"/>
      <c r="X133" s="3">
        <f>IF(P133="","",IFERROR(VLOOKUP(P133,Parâmetros!$J$2:$K$5,2,FALSE),""))</f>
        <v/>
      </c>
      <c r="Y133" s="4">
        <f>IF(OR(C133="",X133=""),"",C133+X133)</f>
        <v/>
      </c>
      <c r="Z133" s="5">
        <f>IF(C133="","",IF(Q133="Concluído","Concluído",IF(Y133&lt;TODAY(),"Vencido",IF(Y133-TODAY()&lt;=2,"A vencer","No prazo"))))</f>
        <v/>
      </c>
      <c r="AA133" s="3">
        <f>IF(OR(Y133="",Q133="Concluído"),"",Y133-TODAY())</f>
        <v/>
      </c>
      <c r="AB133" s="5" t="n"/>
      <c r="AC133" s="5" t="n"/>
      <c r="AD133" s="4" t="n"/>
    </row>
    <row r="134">
      <c r="A134" s="3">
        <f>IF(C134="","",ROW()-1)</f>
        <v/>
      </c>
      <c r="B134" s="4" t="n"/>
      <c r="C134" s="4" t="n"/>
      <c r="D134" s="5" t="n"/>
      <c r="E134" s="5" t="n"/>
      <c r="F134" s="5" t="n"/>
      <c r="G134" s="5" t="n"/>
      <c r="H134" s="5" t="n"/>
      <c r="I134" s="5" t="n"/>
      <c r="J134" s="5" t="n"/>
      <c r="K134" s="6" t="n"/>
      <c r="L134" s="6" t="n"/>
      <c r="M134" s="6" t="n"/>
      <c r="N134" s="5" t="n"/>
      <c r="O134" s="21" t="n"/>
      <c r="P134" s="5" t="n"/>
      <c r="Q134" s="5" t="n"/>
      <c r="R134" s="6" t="n"/>
      <c r="S134" s="4" t="n"/>
      <c r="T134" s="4" t="n"/>
      <c r="U134" s="3">
        <f>IF(C134="","",IF(T134="",TODAY()-C134,T134-C134))</f>
        <v/>
      </c>
      <c r="V134" s="5" t="n"/>
      <c r="W134" s="6" t="n"/>
      <c r="X134" s="3">
        <f>IF(P134="","",IFERROR(VLOOKUP(P134,Parâmetros!$J$2:$K$5,2,FALSE),""))</f>
        <v/>
      </c>
      <c r="Y134" s="4">
        <f>IF(OR(C134="",X134=""),"",C134+X134)</f>
        <v/>
      </c>
      <c r="Z134" s="5">
        <f>IF(C134="","",IF(Q134="Concluído","Concluído",IF(Y134&lt;TODAY(),"Vencido",IF(Y134-TODAY()&lt;=2,"A vencer","No prazo"))))</f>
        <v/>
      </c>
      <c r="AA134" s="3">
        <f>IF(OR(Y134="",Q134="Concluído"),"",Y134-TODAY())</f>
        <v/>
      </c>
      <c r="AB134" s="5" t="n"/>
      <c r="AC134" s="5" t="n"/>
      <c r="AD134" s="4" t="n"/>
    </row>
    <row r="135">
      <c r="A135" s="3">
        <f>IF(C135="","",ROW()-1)</f>
        <v/>
      </c>
      <c r="B135" s="4" t="n"/>
      <c r="C135" s="4" t="n"/>
      <c r="D135" s="5" t="n"/>
      <c r="E135" s="5" t="n"/>
      <c r="F135" s="5" t="n"/>
      <c r="G135" s="5" t="n"/>
      <c r="H135" s="5" t="n"/>
      <c r="I135" s="5" t="n"/>
      <c r="J135" s="5" t="n"/>
      <c r="K135" s="6" t="n"/>
      <c r="L135" s="6" t="n"/>
      <c r="M135" s="6" t="n"/>
      <c r="N135" s="5" t="n"/>
      <c r="O135" s="21" t="n"/>
      <c r="P135" s="5" t="n"/>
      <c r="Q135" s="5" t="n"/>
      <c r="R135" s="6" t="n"/>
      <c r="S135" s="4" t="n"/>
      <c r="T135" s="4" t="n"/>
      <c r="U135" s="3">
        <f>IF(C135="","",IF(T135="",TODAY()-C135,T135-C135))</f>
        <v/>
      </c>
      <c r="V135" s="5" t="n"/>
      <c r="W135" s="6" t="n"/>
      <c r="X135" s="3">
        <f>IF(P135="","",IFERROR(VLOOKUP(P135,Parâmetros!$J$2:$K$5,2,FALSE),""))</f>
        <v/>
      </c>
      <c r="Y135" s="4">
        <f>IF(OR(C135="",X135=""),"",C135+X135)</f>
        <v/>
      </c>
      <c r="Z135" s="5">
        <f>IF(C135="","",IF(Q135="Concluído","Concluído",IF(Y135&lt;TODAY(),"Vencido",IF(Y135-TODAY()&lt;=2,"A vencer","No prazo"))))</f>
        <v/>
      </c>
      <c r="AA135" s="3">
        <f>IF(OR(Y135="",Q135="Concluído"),"",Y135-TODAY())</f>
        <v/>
      </c>
      <c r="AB135" s="5" t="n"/>
      <c r="AC135" s="5" t="n"/>
      <c r="AD135" s="4" t="n"/>
    </row>
    <row r="136">
      <c r="A136" s="3">
        <f>IF(C136="","",ROW()-1)</f>
        <v/>
      </c>
      <c r="B136" s="4" t="n"/>
      <c r="C136" s="4" t="n"/>
      <c r="D136" s="5" t="n"/>
      <c r="E136" s="5" t="n"/>
      <c r="F136" s="5" t="n"/>
      <c r="G136" s="5" t="n"/>
      <c r="H136" s="5" t="n"/>
      <c r="I136" s="5" t="n"/>
      <c r="J136" s="5" t="n"/>
      <c r="K136" s="6" t="n"/>
      <c r="L136" s="6" t="n"/>
      <c r="M136" s="6" t="n"/>
      <c r="N136" s="5" t="n"/>
      <c r="O136" s="21" t="n"/>
      <c r="P136" s="5" t="n"/>
      <c r="Q136" s="5" t="n"/>
      <c r="R136" s="6" t="n"/>
      <c r="S136" s="4" t="n"/>
      <c r="T136" s="4" t="n"/>
      <c r="U136" s="3">
        <f>IF(C136="","",IF(T136="",TODAY()-C136,T136-C136))</f>
        <v/>
      </c>
      <c r="V136" s="5" t="n"/>
      <c r="W136" s="6" t="n"/>
      <c r="X136" s="3">
        <f>IF(P136="","",IFERROR(VLOOKUP(P136,Parâmetros!$J$2:$K$5,2,FALSE),""))</f>
        <v/>
      </c>
      <c r="Y136" s="4">
        <f>IF(OR(C136="",X136=""),"",C136+X136)</f>
        <v/>
      </c>
      <c r="Z136" s="5">
        <f>IF(C136="","",IF(Q136="Concluído","Concluído",IF(Y136&lt;TODAY(),"Vencido",IF(Y136-TODAY()&lt;=2,"A vencer","No prazo"))))</f>
        <v/>
      </c>
      <c r="AA136" s="3">
        <f>IF(OR(Y136="",Q136="Concluído"),"",Y136-TODAY())</f>
        <v/>
      </c>
      <c r="AB136" s="5" t="n"/>
      <c r="AC136" s="5" t="n"/>
      <c r="AD136" s="4" t="n"/>
    </row>
    <row r="137">
      <c r="A137" s="3">
        <f>IF(C137="","",ROW()-1)</f>
        <v/>
      </c>
      <c r="B137" s="4" t="n"/>
      <c r="C137" s="4" t="n"/>
      <c r="D137" s="5" t="n"/>
      <c r="E137" s="5" t="n"/>
      <c r="F137" s="5" t="n"/>
      <c r="G137" s="5" t="n"/>
      <c r="H137" s="5" t="n"/>
      <c r="I137" s="5" t="n"/>
      <c r="J137" s="5" t="n"/>
      <c r="K137" s="6" t="n"/>
      <c r="L137" s="6" t="n"/>
      <c r="M137" s="6" t="n"/>
      <c r="N137" s="5" t="n"/>
      <c r="O137" s="21" t="n"/>
      <c r="P137" s="5" t="n"/>
      <c r="Q137" s="5" t="n"/>
      <c r="R137" s="6" t="n"/>
      <c r="S137" s="4" t="n"/>
      <c r="T137" s="4" t="n"/>
      <c r="U137" s="3">
        <f>IF(C137="","",IF(T137="",TODAY()-C137,T137-C137))</f>
        <v/>
      </c>
      <c r="V137" s="5" t="n"/>
      <c r="W137" s="6" t="n"/>
      <c r="X137" s="3">
        <f>IF(P137="","",IFERROR(VLOOKUP(P137,Parâmetros!$J$2:$K$5,2,FALSE),""))</f>
        <v/>
      </c>
      <c r="Y137" s="4">
        <f>IF(OR(C137="",X137=""),"",C137+X137)</f>
        <v/>
      </c>
      <c r="Z137" s="5">
        <f>IF(C137="","",IF(Q137="Concluído","Concluído",IF(Y137&lt;TODAY(),"Vencido",IF(Y137-TODAY()&lt;=2,"A vencer","No prazo"))))</f>
        <v/>
      </c>
      <c r="AA137" s="3">
        <f>IF(OR(Y137="",Q137="Concluído"),"",Y137-TODAY())</f>
        <v/>
      </c>
      <c r="AB137" s="5" t="n"/>
      <c r="AC137" s="5" t="n"/>
      <c r="AD137" s="4" t="n"/>
    </row>
    <row r="138">
      <c r="A138" s="3">
        <f>IF(C138="","",ROW()-1)</f>
        <v/>
      </c>
      <c r="B138" s="4" t="n"/>
      <c r="C138" s="4" t="n"/>
      <c r="D138" s="5" t="n"/>
      <c r="E138" s="5" t="n"/>
      <c r="F138" s="5" t="n"/>
      <c r="G138" s="5" t="n"/>
      <c r="H138" s="5" t="n"/>
      <c r="I138" s="5" t="n"/>
      <c r="J138" s="5" t="n"/>
      <c r="K138" s="6" t="n"/>
      <c r="L138" s="6" t="n"/>
      <c r="M138" s="6" t="n"/>
      <c r="N138" s="5" t="n"/>
      <c r="O138" s="21" t="n"/>
      <c r="P138" s="5" t="n"/>
      <c r="Q138" s="5" t="n"/>
      <c r="R138" s="6" t="n"/>
      <c r="S138" s="4" t="n"/>
      <c r="T138" s="4" t="n"/>
      <c r="U138" s="3">
        <f>IF(C138="","",IF(T138="",TODAY()-C138,T138-C138))</f>
        <v/>
      </c>
      <c r="V138" s="5" t="n"/>
      <c r="W138" s="6" t="n"/>
      <c r="X138" s="3">
        <f>IF(P138="","",IFERROR(VLOOKUP(P138,Parâmetros!$J$2:$K$5,2,FALSE),""))</f>
        <v/>
      </c>
      <c r="Y138" s="4">
        <f>IF(OR(C138="",X138=""),"",C138+X138)</f>
        <v/>
      </c>
      <c r="Z138" s="5">
        <f>IF(C138="","",IF(Q138="Concluído","Concluído",IF(Y138&lt;TODAY(),"Vencido",IF(Y138-TODAY()&lt;=2,"A vencer","No prazo"))))</f>
        <v/>
      </c>
      <c r="AA138" s="3">
        <f>IF(OR(Y138="",Q138="Concluído"),"",Y138-TODAY())</f>
        <v/>
      </c>
      <c r="AB138" s="5" t="n"/>
      <c r="AC138" s="5" t="n"/>
      <c r="AD138" s="4" t="n"/>
    </row>
    <row r="139">
      <c r="A139" s="3">
        <f>IF(C139="","",ROW()-1)</f>
        <v/>
      </c>
      <c r="B139" s="4" t="n"/>
      <c r="C139" s="4" t="n"/>
      <c r="D139" s="5" t="n"/>
      <c r="E139" s="5" t="n"/>
      <c r="F139" s="5" t="n"/>
      <c r="G139" s="5" t="n"/>
      <c r="H139" s="5" t="n"/>
      <c r="I139" s="5" t="n"/>
      <c r="J139" s="5" t="n"/>
      <c r="K139" s="6" t="n"/>
      <c r="L139" s="6" t="n"/>
      <c r="M139" s="6" t="n"/>
      <c r="N139" s="5" t="n"/>
      <c r="O139" s="21" t="n"/>
      <c r="P139" s="5" t="n"/>
      <c r="Q139" s="5" t="n"/>
      <c r="R139" s="6" t="n"/>
      <c r="S139" s="4" t="n"/>
      <c r="T139" s="4" t="n"/>
      <c r="U139" s="3">
        <f>IF(C139="","",IF(T139="",TODAY()-C139,T139-C139))</f>
        <v/>
      </c>
      <c r="V139" s="5" t="n"/>
      <c r="W139" s="6" t="n"/>
      <c r="X139" s="3">
        <f>IF(P139="","",IFERROR(VLOOKUP(P139,Parâmetros!$J$2:$K$5,2,FALSE),""))</f>
        <v/>
      </c>
      <c r="Y139" s="4">
        <f>IF(OR(C139="",X139=""),"",C139+X139)</f>
        <v/>
      </c>
      <c r="Z139" s="5">
        <f>IF(C139="","",IF(Q139="Concluído","Concluído",IF(Y139&lt;TODAY(),"Vencido",IF(Y139-TODAY()&lt;=2,"A vencer","No prazo"))))</f>
        <v/>
      </c>
      <c r="AA139" s="3">
        <f>IF(OR(Y139="",Q139="Concluído"),"",Y139-TODAY())</f>
        <v/>
      </c>
      <c r="AB139" s="5" t="n"/>
      <c r="AC139" s="5" t="n"/>
      <c r="AD139" s="4" t="n"/>
    </row>
    <row r="140">
      <c r="A140" s="3">
        <f>IF(C140="","",ROW()-1)</f>
        <v/>
      </c>
      <c r="B140" s="4" t="n"/>
      <c r="C140" s="4" t="n"/>
      <c r="D140" s="5" t="n"/>
      <c r="E140" s="5" t="n"/>
      <c r="F140" s="5" t="n"/>
      <c r="G140" s="5" t="n"/>
      <c r="H140" s="5" t="n"/>
      <c r="I140" s="5" t="n"/>
      <c r="J140" s="5" t="n"/>
      <c r="K140" s="6" t="n"/>
      <c r="L140" s="6" t="n"/>
      <c r="M140" s="6" t="n"/>
      <c r="N140" s="5" t="n"/>
      <c r="O140" s="21" t="n"/>
      <c r="P140" s="5" t="n"/>
      <c r="Q140" s="5" t="n"/>
      <c r="R140" s="6" t="n"/>
      <c r="S140" s="4" t="n"/>
      <c r="T140" s="4" t="n"/>
      <c r="U140" s="3">
        <f>IF(C140="","",IF(T140="",TODAY()-C140,T140-C140))</f>
        <v/>
      </c>
      <c r="V140" s="5" t="n"/>
      <c r="W140" s="6" t="n"/>
      <c r="X140" s="3">
        <f>IF(P140="","",IFERROR(VLOOKUP(P140,Parâmetros!$J$2:$K$5,2,FALSE),""))</f>
        <v/>
      </c>
      <c r="Y140" s="4">
        <f>IF(OR(C140="",X140=""),"",C140+X140)</f>
        <v/>
      </c>
      <c r="Z140" s="5">
        <f>IF(C140="","",IF(Q140="Concluído","Concluído",IF(Y140&lt;TODAY(),"Vencido",IF(Y140-TODAY()&lt;=2,"A vencer","No prazo"))))</f>
        <v/>
      </c>
      <c r="AA140" s="3">
        <f>IF(OR(Y140="",Q140="Concluído"),"",Y140-TODAY())</f>
        <v/>
      </c>
      <c r="AB140" s="5" t="n"/>
      <c r="AC140" s="5" t="n"/>
      <c r="AD140" s="4" t="n"/>
    </row>
    <row r="141">
      <c r="A141" s="3">
        <f>IF(C141="","",ROW()-1)</f>
        <v/>
      </c>
      <c r="B141" s="4" t="n"/>
      <c r="C141" s="4" t="n"/>
      <c r="D141" s="5" t="n"/>
      <c r="E141" s="5" t="n"/>
      <c r="F141" s="5" t="n"/>
      <c r="G141" s="5" t="n"/>
      <c r="H141" s="5" t="n"/>
      <c r="I141" s="5" t="n"/>
      <c r="J141" s="5" t="n"/>
      <c r="K141" s="6" t="n"/>
      <c r="L141" s="6" t="n"/>
      <c r="M141" s="6" t="n"/>
      <c r="N141" s="5" t="n"/>
      <c r="O141" s="21" t="n"/>
      <c r="P141" s="5" t="n"/>
      <c r="Q141" s="5" t="n"/>
      <c r="R141" s="6" t="n"/>
      <c r="S141" s="4" t="n"/>
      <c r="T141" s="4" t="n"/>
      <c r="U141" s="3">
        <f>IF(C141="","",IF(T141="",TODAY()-C141,T141-C141))</f>
        <v/>
      </c>
      <c r="V141" s="5" t="n"/>
      <c r="W141" s="6" t="n"/>
      <c r="X141" s="3">
        <f>IF(P141="","",IFERROR(VLOOKUP(P141,Parâmetros!$J$2:$K$5,2,FALSE),""))</f>
        <v/>
      </c>
      <c r="Y141" s="4">
        <f>IF(OR(C141="",X141=""),"",C141+X141)</f>
        <v/>
      </c>
      <c r="Z141" s="5">
        <f>IF(C141="","",IF(Q141="Concluído","Concluído",IF(Y141&lt;TODAY(),"Vencido",IF(Y141-TODAY()&lt;=2,"A vencer","No prazo"))))</f>
        <v/>
      </c>
      <c r="AA141" s="3">
        <f>IF(OR(Y141="",Q141="Concluído"),"",Y141-TODAY())</f>
        <v/>
      </c>
      <c r="AB141" s="5" t="n"/>
      <c r="AC141" s="5" t="n"/>
      <c r="AD141" s="4" t="n"/>
    </row>
    <row r="142">
      <c r="A142" s="3">
        <f>IF(C142="","",ROW()-1)</f>
        <v/>
      </c>
      <c r="B142" s="4" t="n"/>
      <c r="C142" s="4" t="n"/>
      <c r="D142" s="5" t="n"/>
      <c r="E142" s="5" t="n"/>
      <c r="F142" s="5" t="n"/>
      <c r="G142" s="5" t="n"/>
      <c r="H142" s="5" t="n"/>
      <c r="I142" s="5" t="n"/>
      <c r="J142" s="5" t="n"/>
      <c r="K142" s="6" t="n"/>
      <c r="L142" s="6" t="n"/>
      <c r="M142" s="6" t="n"/>
      <c r="N142" s="5" t="n"/>
      <c r="O142" s="21" t="n"/>
      <c r="P142" s="5" t="n"/>
      <c r="Q142" s="5" t="n"/>
      <c r="R142" s="6" t="n"/>
      <c r="S142" s="4" t="n"/>
      <c r="T142" s="4" t="n"/>
      <c r="U142" s="3">
        <f>IF(C142="","",IF(T142="",TODAY()-C142,T142-C142))</f>
        <v/>
      </c>
      <c r="V142" s="5" t="n"/>
      <c r="W142" s="6" t="n"/>
      <c r="X142" s="3">
        <f>IF(P142="","",IFERROR(VLOOKUP(P142,Parâmetros!$J$2:$K$5,2,FALSE),""))</f>
        <v/>
      </c>
      <c r="Y142" s="4">
        <f>IF(OR(C142="",X142=""),"",C142+X142)</f>
        <v/>
      </c>
      <c r="Z142" s="5">
        <f>IF(C142="","",IF(Q142="Concluído","Concluído",IF(Y142&lt;TODAY(),"Vencido",IF(Y142-TODAY()&lt;=2,"A vencer","No prazo"))))</f>
        <v/>
      </c>
      <c r="AA142" s="3">
        <f>IF(OR(Y142="",Q142="Concluído"),"",Y142-TODAY())</f>
        <v/>
      </c>
      <c r="AB142" s="5" t="n"/>
      <c r="AC142" s="5" t="n"/>
      <c r="AD142" s="4" t="n"/>
    </row>
    <row r="143">
      <c r="A143" s="3">
        <f>IF(C143="","",ROW()-1)</f>
        <v/>
      </c>
      <c r="B143" s="4" t="n"/>
      <c r="C143" s="4" t="n"/>
      <c r="D143" s="5" t="n"/>
      <c r="E143" s="5" t="n"/>
      <c r="F143" s="5" t="n"/>
      <c r="G143" s="5" t="n"/>
      <c r="H143" s="5" t="n"/>
      <c r="I143" s="5" t="n"/>
      <c r="J143" s="5" t="n"/>
      <c r="K143" s="6" t="n"/>
      <c r="L143" s="6" t="n"/>
      <c r="M143" s="6" t="n"/>
      <c r="N143" s="5" t="n"/>
      <c r="O143" s="21" t="n"/>
      <c r="P143" s="5" t="n"/>
      <c r="Q143" s="5" t="n"/>
      <c r="R143" s="6" t="n"/>
      <c r="S143" s="4" t="n"/>
      <c r="T143" s="4" t="n"/>
      <c r="U143" s="3">
        <f>IF(C143="","",IF(T143="",TODAY()-C143,T143-C143))</f>
        <v/>
      </c>
      <c r="V143" s="5" t="n"/>
      <c r="W143" s="6" t="n"/>
      <c r="X143" s="3">
        <f>IF(P143="","",IFERROR(VLOOKUP(P143,Parâmetros!$J$2:$K$5,2,FALSE),""))</f>
        <v/>
      </c>
      <c r="Y143" s="4">
        <f>IF(OR(C143="",X143=""),"",C143+X143)</f>
        <v/>
      </c>
      <c r="Z143" s="5">
        <f>IF(C143="","",IF(Q143="Concluído","Concluído",IF(Y143&lt;TODAY(),"Vencido",IF(Y143-TODAY()&lt;=2,"A vencer","No prazo"))))</f>
        <v/>
      </c>
      <c r="AA143" s="3">
        <f>IF(OR(Y143="",Q143="Concluído"),"",Y143-TODAY())</f>
        <v/>
      </c>
      <c r="AB143" s="5" t="n"/>
      <c r="AC143" s="5" t="n"/>
      <c r="AD143" s="4" t="n"/>
    </row>
    <row r="144">
      <c r="A144" s="3">
        <f>IF(C144="","",ROW()-1)</f>
        <v/>
      </c>
      <c r="B144" s="4" t="n"/>
      <c r="C144" s="4" t="n"/>
      <c r="D144" s="5" t="n"/>
      <c r="E144" s="5" t="n"/>
      <c r="F144" s="5" t="n"/>
      <c r="G144" s="5" t="n"/>
      <c r="H144" s="5" t="n"/>
      <c r="I144" s="5" t="n"/>
      <c r="J144" s="5" t="n"/>
      <c r="K144" s="6" t="n"/>
      <c r="L144" s="6" t="n"/>
      <c r="M144" s="6" t="n"/>
      <c r="N144" s="5" t="n"/>
      <c r="O144" s="21" t="n"/>
      <c r="P144" s="5" t="n"/>
      <c r="Q144" s="5" t="n"/>
      <c r="R144" s="6" t="n"/>
      <c r="S144" s="4" t="n"/>
      <c r="T144" s="4" t="n"/>
      <c r="U144" s="3">
        <f>IF(C144="","",IF(T144="",TODAY()-C144,T144-C144))</f>
        <v/>
      </c>
      <c r="V144" s="5" t="n"/>
      <c r="W144" s="6" t="n"/>
      <c r="X144" s="3">
        <f>IF(P144="","",IFERROR(VLOOKUP(P144,Parâmetros!$J$2:$K$5,2,FALSE),""))</f>
        <v/>
      </c>
      <c r="Y144" s="4">
        <f>IF(OR(C144="",X144=""),"",C144+X144)</f>
        <v/>
      </c>
      <c r="Z144" s="5">
        <f>IF(C144="","",IF(Q144="Concluído","Concluído",IF(Y144&lt;TODAY(),"Vencido",IF(Y144-TODAY()&lt;=2,"A vencer","No prazo"))))</f>
        <v/>
      </c>
      <c r="AA144" s="3">
        <f>IF(OR(Y144="",Q144="Concluído"),"",Y144-TODAY())</f>
        <v/>
      </c>
      <c r="AB144" s="5" t="n"/>
      <c r="AC144" s="5" t="n"/>
      <c r="AD144" s="4" t="n"/>
    </row>
    <row r="145">
      <c r="A145" s="3">
        <f>IF(C145="","",ROW()-1)</f>
        <v/>
      </c>
      <c r="B145" s="4" t="n"/>
      <c r="C145" s="4" t="n"/>
      <c r="D145" s="5" t="n"/>
      <c r="E145" s="5" t="n"/>
      <c r="F145" s="5" t="n"/>
      <c r="G145" s="5" t="n"/>
      <c r="H145" s="5" t="n"/>
      <c r="I145" s="5" t="n"/>
      <c r="J145" s="5" t="n"/>
      <c r="K145" s="6" t="n"/>
      <c r="L145" s="6" t="n"/>
      <c r="M145" s="6" t="n"/>
      <c r="N145" s="5" t="n"/>
      <c r="O145" s="21" t="n"/>
      <c r="P145" s="5" t="n"/>
      <c r="Q145" s="5" t="n"/>
      <c r="R145" s="6" t="n"/>
      <c r="S145" s="4" t="n"/>
      <c r="T145" s="4" t="n"/>
      <c r="U145" s="3">
        <f>IF(C145="","",IF(T145="",TODAY()-C145,T145-C145))</f>
        <v/>
      </c>
      <c r="V145" s="5" t="n"/>
      <c r="W145" s="6" t="n"/>
      <c r="X145" s="3">
        <f>IF(P145="","",IFERROR(VLOOKUP(P145,Parâmetros!$J$2:$K$5,2,FALSE),""))</f>
        <v/>
      </c>
      <c r="Y145" s="4">
        <f>IF(OR(C145="",X145=""),"",C145+X145)</f>
        <v/>
      </c>
      <c r="Z145" s="5">
        <f>IF(C145="","",IF(Q145="Concluído","Concluído",IF(Y145&lt;TODAY(),"Vencido",IF(Y145-TODAY()&lt;=2,"A vencer","No prazo"))))</f>
        <v/>
      </c>
      <c r="AA145" s="3">
        <f>IF(OR(Y145="",Q145="Concluído"),"",Y145-TODAY())</f>
        <v/>
      </c>
      <c r="AB145" s="5" t="n"/>
      <c r="AC145" s="5" t="n"/>
      <c r="AD145" s="4" t="n"/>
    </row>
    <row r="146">
      <c r="A146" s="3">
        <f>IF(C146="","",ROW()-1)</f>
        <v/>
      </c>
      <c r="B146" s="4" t="n"/>
      <c r="C146" s="4" t="n"/>
      <c r="D146" s="5" t="n"/>
      <c r="E146" s="5" t="n"/>
      <c r="F146" s="5" t="n"/>
      <c r="G146" s="5" t="n"/>
      <c r="H146" s="5" t="n"/>
      <c r="I146" s="5" t="n"/>
      <c r="J146" s="5" t="n"/>
      <c r="K146" s="6" t="n"/>
      <c r="L146" s="6" t="n"/>
      <c r="M146" s="6" t="n"/>
      <c r="N146" s="5" t="n"/>
      <c r="O146" s="21" t="n"/>
      <c r="P146" s="5" t="n"/>
      <c r="Q146" s="5" t="n"/>
      <c r="R146" s="6" t="n"/>
      <c r="S146" s="4" t="n"/>
      <c r="T146" s="4" t="n"/>
      <c r="U146" s="3">
        <f>IF(C146="","",IF(T146="",TODAY()-C146,T146-C146))</f>
        <v/>
      </c>
      <c r="V146" s="5" t="n"/>
      <c r="W146" s="6" t="n"/>
      <c r="X146" s="3">
        <f>IF(P146="","",IFERROR(VLOOKUP(P146,Parâmetros!$J$2:$K$5,2,FALSE),""))</f>
        <v/>
      </c>
      <c r="Y146" s="4">
        <f>IF(OR(C146="",X146=""),"",C146+X146)</f>
        <v/>
      </c>
      <c r="Z146" s="5">
        <f>IF(C146="","",IF(Q146="Concluído","Concluído",IF(Y146&lt;TODAY(),"Vencido",IF(Y146-TODAY()&lt;=2,"A vencer","No prazo"))))</f>
        <v/>
      </c>
      <c r="AA146" s="3">
        <f>IF(OR(Y146="",Q146="Concluído"),"",Y146-TODAY())</f>
        <v/>
      </c>
      <c r="AB146" s="5" t="n"/>
      <c r="AC146" s="5" t="n"/>
      <c r="AD146" s="4" t="n"/>
    </row>
    <row r="147">
      <c r="A147" s="3">
        <f>IF(C147="","",ROW()-1)</f>
        <v/>
      </c>
      <c r="B147" s="4" t="n"/>
      <c r="C147" s="4" t="n"/>
      <c r="D147" s="5" t="n"/>
      <c r="E147" s="5" t="n"/>
      <c r="F147" s="5" t="n"/>
      <c r="G147" s="5" t="n"/>
      <c r="H147" s="5" t="n"/>
      <c r="I147" s="5" t="n"/>
      <c r="J147" s="5" t="n"/>
      <c r="K147" s="6" t="n"/>
      <c r="L147" s="6" t="n"/>
      <c r="M147" s="6" t="n"/>
      <c r="N147" s="5" t="n"/>
      <c r="O147" s="21" t="n"/>
      <c r="P147" s="5" t="n"/>
      <c r="Q147" s="5" t="n"/>
      <c r="R147" s="6" t="n"/>
      <c r="S147" s="4" t="n"/>
      <c r="T147" s="4" t="n"/>
      <c r="U147" s="3">
        <f>IF(C147="","",IF(T147="",TODAY()-C147,T147-C147))</f>
        <v/>
      </c>
      <c r="V147" s="5" t="n"/>
      <c r="W147" s="6" t="n"/>
      <c r="X147" s="3">
        <f>IF(P147="","",IFERROR(VLOOKUP(P147,Parâmetros!$J$2:$K$5,2,FALSE),""))</f>
        <v/>
      </c>
      <c r="Y147" s="4">
        <f>IF(OR(C147="",X147=""),"",C147+X147)</f>
        <v/>
      </c>
      <c r="Z147" s="5">
        <f>IF(C147="","",IF(Q147="Concluído","Concluído",IF(Y147&lt;TODAY(),"Vencido",IF(Y147-TODAY()&lt;=2,"A vencer","No prazo"))))</f>
        <v/>
      </c>
      <c r="AA147" s="3">
        <f>IF(OR(Y147="",Q147="Concluído"),"",Y147-TODAY())</f>
        <v/>
      </c>
      <c r="AB147" s="5" t="n"/>
      <c r="AC147" s="5" t="n"/>
      <c r="AD147" s="4" t="n"/>
    </row>
    <row r="148">
      <c r="A148" s="3">
        <f>IF(C148="","",ROW()-1)</f>
        <v/>
      </c>
      <c r="B148" s="4" t="n"/>
      <c r="C148" s="4" t="n"/>
      <c r="D148" s="5" t="n"/>
      <c r="E148" s="5" t="n"/>
      <c r="F148" s="5" t="n"/>
      <c r="G148" s="5" t="n"/>
      <c r="H148" s="5" t="n"/>
      <c r="I148" s="5" t="n"/>
      <c r="J148" s="5" t="n"/>
      <c r="K148" s="6" t="n"/>
      <c r="L148" s="6" t="n"/>
      <c r="M148" s="6" t="n"/>
      <c r="N148" s="5" t="n"/>
      <c r="O148" s="21" t="n"/>
      <c r="P148" s="5" t="n"/>
      <c r="Q148" s="5" t="n"/>
      <c r="R148" s="6" t="n"/>
      <c r="S148" s="4" t="n"/>
      <c r="T148" s="4" t="n"/>
      <c r="U148" s="3">
        <f>IF(C148="","",IF(T148="",TODAY()-C148,T148-C148))</f>
        <v/>
      </c>
      <c r="V148" s="5" t="n"/>
      <c r="W148" s="6" t="n"/>
      <c r="X148" s="3">
        <f>IF(P148="","",IFERROR(VLOOKUP(P148,Parâmetros!$J$2:$K$5,2,FALSE),""))</f>
        <v/>
      </c>
      <c r="Y148" s="4">
        <f>IF(OR(C148="",X148=""),"",C148+X148)</f>
        <v/>
      </c>
      <c r="Z148" s="5">
        <f>IF(C148="","",IF(Q148="Concluído","Concluído",IF(Y148&lt;TODAY(),"Vencido",IF(Y148-TODAY()&lt;=2,"A vencer","No prazo"))))</f>
        <v/>
      </c>
      <c r="AA148" s="3">
        <f>IF(OR(Y148="",Q148="Concluído"),"",Y148-TODAY())</f>
        <v/>
      </c>
      <c r="AB148" s="5" t="n"/>
      <c r="AC148" s="5" t="n"/>
      <c r="AD148" s="4" t="n"/>
    </row>
    <row r="149">
      <c r="A149" s="3">
        <f>IF(C149="","",ROW()-1)</f>
        <v/>
      </c>
      <c r="B149" s="4" t="n"/>
      <c r="C149" s="4" t="n"/>
      <c r="D149" s="5" t="n"/>
      <c r="E149" s="5" t="n"/>
      <c r="F149" s="5" t="n"/>
      <c r="G149" s="5" t="n"/>
      <c r="H149" s="5" t="n"/>
      <c r="I149" s="5" t="n"/>
      <c r="J149" s="5" t="n"/>
      <c r="K149" s="6" t="n"/>
      <c r="L149" s="6" t="n"/>
      <c r="M149" s="6" t="n"/>
      <c r="N149" s="5" t="n"/>
      <c r="O149" s="21" t="n"/>
      <c r="P149" s="5" t="n"/>
      <c r="Q149" s="5" t="n"/>
      <c r="R149" s="6" t="n"/>
      <c r="S149" s="4" t="n"/>
      <c r="T149" s="4" t="n"/>
      <c r="U149" s="3">
        <f>IF(C149="","",IF(T149="",TODAY()-C149,T149-C149))</f>
        <v/>
      </c>
      <c r="V149" s="5" t="n"/>
      <c r="W149" s="6" t="n"/>
      <c r="X149" s="3">
        <f>IF(P149="","",IFERROR(VLOOKUP(P149,Parâmetros!$J$2:$K$5,2,FALSE),""))</f>
        <v/>
      </c>
      <c r="Y149" s="4">
        <f>IF(OR(C149="",X149=""),"",C149+X149)</f>
        <v/>
      </c>
      <c r="Z149" s="5">
        <f>IF(C149="","",IF(Q149="Concluído","Concluído",IF(Y149&lt;TODAY(),"Vencido",IF(Y149-TODAY()&lt;=2,"A vencer","No prazo"))))</f>
        <v/>
      </c>
      <c r="AA149" s="3">
        <f>IF(OR(Y149="",Q149="Concluído"),"",Y149-TODAY())</f>
        <v/>
      </c>
      <c r="AB149" s="5" t="n"/>
      <c r="AC149" s="5" t="n"/>
      <c r="AD149" s="4" t="n"/>
    </row>
    <row r="150">
      <c r="A150" s="3">
        <f>IF(C150="","",ROW()-1)</f>
        <v/>
      </c>
      <c r="B150" s="4" t="n"/>
      <c r="C150" s="4" t="n"/>
      <c r="D150" s="5" t="n"/>
      <c r="E150" s="5" t="n"/>
      <c r="F150" s="5" t="n"/>
      <c r="G150" s="5" t="n"/>
      <c r="H150" s="5" t="n"/>
      <c r="I150" s="5" t="n"/>
      <c r="J150" s="5" t="n"/>
      <c r="K150" s="6" t="n"/>
      <c r="L150" s="6" t="n"/>
      <c r="M150" s="6" t="n"/>
      <c r="N150" s="5" t="n"/>
      <c r="O150" s="21" t="n"/>
      <c r="P150" s="5" t="n"/>
      <c r="Q150" s="5" t="n"/>
      <c r="R150" s="6" t="n"/>
      <c r="S150" s="4" t="n"/>
      <c r="T150" s="4" t="n"/>
      <c r="U150" s="3">
        <f>IF(C150="","",IF(T150="",TODAY()-C150,T150-C150))</f>
        <v/>
      </c>
      <c r="V150" s="5" t="n"/>
      <c r="W150" s="6" t="n"/>
      <c r="X150" s="3">
        <f>IF(P150="","",IFERROR(VLOOKUP(P150,Parâmetros!$J$2:$K$5,2,FALSE),""))</f>
        <v/>
      </c>
      <c r="Y150" s="4">
        <f>IF(OR(C150="",X150=""),"",C150+X150)</f>
        <v/>
      </c>
      <c r="Z150" s="5">
        <f>IF(C150="","",IF(Q150="Concluído","Concluído",IF(Y150&lt;TODAY(),"Vencido",IF(Y150-TODAY()&lt;=2,"A vencer","No prazo"))))</f>
        <v/>
      </c>
      <c r="AA150" s="3">
        <f>IF(OR(Y150="",Q150="Concluído"),"",Y150-TODAY())</f>
        <v/>
      </c>
      <c r="AB150" s="5" t="n"/>
      <c r="AC150" s="5" t="n"/>
      <c r="AD150" s="4" t="n"/>
    </row>
    <row r="151">
      <c r="A151" s="3">
        <f>IF(C151="","",ROW()-1)</f>
        <v/>
      </c>
      <c r="B151" s="4" t="n"/>
      <c r="C151" s="4" t="n"/>
      <c r="D151" s="5" t="n"/>
      <c r="E151" s="5" t="n"/>
      <c r="F151" s="5" t="n"/>
      <c r="G151" s="5" t="n"/>
      <c r="H151" s="5" t="n"/>
      <c r="I151" s="5" t="n"/>
      <c r="J151" s="5" t="n"/>
      <c r="K151" s="6" t="n"/>
      <c r="L151" s="6" t="n"/>
      <c r="M151" s="6" t="n"/>
      <c r="N151" s="5" t="n"/>
      <c r="O151" s="21" t="n"/>
      <c r="P151" s="5" t="n"/>
      <c r="Q151" s="5" t="n"/>
      <c r="R151" s="6" t="n"/>
      <c r="S151" s="4" t="n"/>
      <c r="T151" s="4" t="n"/>
      <c r="U151" s="3">
        <f>IF(C151="","",IF(T151="",TODAY()-C151,T151-C151))</f>
        <v/>
      </c>
      <c r="V151" s="5" t="n"/>
      <c r="W151" s="6" t="n"/>
      <c r="X151" s="3">
        <f>IF(P151="","",IFERROR(VLOOKUP(P151,Parâmetros!$J$2:$K$5,2,FALSE),""))</f>
        <v/>
      </c>
      <c r="Y151" s="4">
        <f>IF(OR(C151="",X151=""),"",C151+X151)</f>
        <v/>
      </c>
      <c r="Z151" s="5">
        <f>IF(C151="","",IF(Q151="Concluído","Concluído",IF(Y151&lt;TODAY(),"Vencido",IF(Y151-TODAY()&lt;=2,"A vencer","No prazo"))))</f>
        <v/>
      </c>
      <c r="AA151" s="3">
        <f>IF(OR(Y151="",Q151="Concluído"),"",Y151-TODAY())</f>
        <v/>
      </c>
      <c r="AB151" s="5" t="n"/>
      <c r="AC151" s="5" t="n"/>
      <c r="AD151" s="4" t="n"/>
    </row>
    <row r="152">
      <c r="A152" s="3">
        <f>IF(C152="","",ROW()-1)</f>
        <v/>
      </c>
      <c r="B152" s="4" t="n"/>
      <c r="C152" s="4" t="n"/>
      <c r="D152" s="5" t="n"/>
      <c r="E152" s="5" t="n"/>
      <c r="F152" s="5" t="n"/>
      <c r="G152" s="5" t="n"/>
      <c r="H152" s="5" t="n"/>
      <c r="I152" s="5" t="n"/>
      <c r="J152" s="5" t="n"/>
      <c r="K152" s="6" t="n"/>
      <c r="L152" s="6" t="n"/>
      <c r="M152" s="6" t="n"/>
      <c r="N152" s="5" t="n"/>
      <c r="O152" s="21" t="n"/>
      <c r="P152" s="5" t="n"/>
      <c r="Q152" s="5" t="n"/>
      <c r="R152" s="6" t="n"/>
      <c r="S152" s="4" t="n"/>
      <c r="T152" s="4" t="n"/>
      <c r="U152" s="3">
        <f>IF(C152="","",IF(T152="",TODAY()-C152,T152-C152))</f>
        <v/>
      </c>
      <c r="V152" s="5" t="n"/>
      <c r="W152" s="6" t="n"/>
      <c r="X152" s="3">
        <f>IF(P152="","",IFERROR(VLOOKUP(P152,Parâmetros!$J$2:$K$5,2,FALSE),""))</f>
        <v/>
      </c>
      <c r="Y152" s="4">
        <f>IF(OR(C152="",X152=""),"",C152+X152)</f>
        <v/>
      </c>
      <c r="Z152" s="5">
        <f>IF(C152="","",IF(Q152="Concluído","Concluído",IF(Y152&lt;TODAY(),"Vencido",IF(Y152-TODAY()&lt;=2,"A vencer","No prazo"))))</f>
        <v/>
      </c>
      <c r="AA152" s="3">
        <f>IF(OR(Y152="",Q152="Concluído"),"",Y152-TODAY())</f>
        <v/>
      </c>
      <c r="AB152" s="5" t="n"/>
      <c r="AC152" s="5" t="n"/>
      <c r="AD152" s="4" t="n"/>
    </row>
    <row r="153">
      <c r="A153" s="3">
        <f>IF(C153="","",ROW()-1)</f>
        <v/>
      </c>
      <c r="B153" s="4" t="n"/>
      <c r="C153" s="4" t="n"/>
      <c r="D153" s="5" t="n"/>
      <c r="E153" s="5" t="n"/>
      <c r="F153" s="5" t="n"/>
      <c r="G153" s="5" t="n"/>
      <c r="H153" s="5" t="n"/>
      <c r="I153" s="5" t="n"/>
      <c r="J153" s="5" t="n"/>
      <c r="K153" s="6" t="n"/>
      <c r="L153" s="6" t="n"/>
      <c r="M153" s="6" t="n"/>
      <c r="N153" s="5" t="n"/>
      <c r="O153" s="21" t="n"/>
      <c r="P153" s="5" t="n"/>
      <c r="Q153" s="5" t="n"/>
      <c r="R153" s="6" t="n"/>
      <c r="S153" s="4" t="n"/>
      <c r="T153" s="4" t="n"/>
      <c r="U153" s="3">
        <f>IF(C153="","",IF(T153="",TODAY()-C153,T153-C153))</f>
        <v/>
      </c>
      <c r="V153" s="5" t="n"/>
      <c r="W153" s="6" t="n"/>
      <c r="X153" s="3">
        <f>IF(P153="","",IFERROR(VLOOKUP(P153,Parâmetros!$J$2:$K$5,2,FALSE),""))</f>
        <v/>
      </c>
      <c r="Y153" s="4">
        <f>IF(OR(C153="",X153=""),"",C153+X153)</f>
        <v/>
      </c>
      <c r="Z153" s="5">
        <f>IF(C153="","",IF(Q153="Concluído","Concluído",IF(Y153&lt;TODAY(),"Vencido",IF(Y153-TODAY()&lt;=2,"A vencer","No prazo"))))</f>
        <v/>
      </c>
      <c r="AA153" s="3">
        <f>IF(OR(Y153="",Q153="Concluído"),"",Y153-TODAY())</f>
        <v/>
      </c>
      <c r="AB153" s="5" t="n"/>
      <c r="AC153" s="5" t="n"/>
      <c r="AD153" s="4" t="n"/>
    </row>
    <row r="154">
      <c r="A154" s="3">
        <f>IF(C154="","",ROW()-1)</f>
        <v/>
      </c>
      <c r="B154" s="4" t="n"/>
      <c r="C154" s="4" t="n"/>
      <c r="D154" s="5" t="n"/>
      <c r="E154" s="5" t="n"/>
      <c r="F154" s="5" t="n"/>
      <c r="G154" s="5" t="n"/>
      <c r="H154" s="5" t="n"/>
      <c r="I154" s="5" t="n"/>
      <c r="J154" s="5" t="n"/>
      <c r="K154" s="6" t="n"/>
      <c r="L154" s="6" t="n"/>
      <c r="M154" s="6" t="n"/>
      <c r="N154" s="5" t="n"/>
      <c r="O154" s="21" t="n"/>
      <c r="P154" s="5" t="n"/>
      <c r="Q154" s="5" t="n"/>
      <c r="R154" s="6" t="n"/>
      <c r="S154" s="4" t="n"/>
      <c r="T154" s="4" t="n"/>
      <c r="U154" s="3">
        <f>IF(C154="","",IF(T154="",TODAY()-C154,T154-C154))</f>
        <v/>
      </c>
      <c r="V154" s="5" t="n"/>
      <c r="W154" s="6" t="n"/>
      <c r="X154" s="3">
        <f>IF(P154="","",IFERROR(VLOOKUP(P154,Parâmetros!$J$2:$K$5,2,FALSE),""))</f>
        <v/>
      </c>
      <c r="Y154" s="4">
        <f>IF(OR(C154="",X154=""),"",C154+X154)</f>
        <v/>
      </c>
      <c r="Z154" s="5">
        <f>IF(C154="","",IF(Q154="Concluído","Concluído",IF(Y154&lt;TODAY(),"Vencido",IF(Y154-TODAY()&lt;=2,"A vencer","No prazo"))))</f>
        <v/>
      </c>
      <c r="AA154" s="3">
        <f>IF(OR(Y154="",Q154="Concluído"),"",Y154-TODAY())</f>
        <v/>
      </c>
      <c r="AB154" s="5" t="n"/>
      <c r="AC154" s="5" t="n"/>
      <c r="AD154" s="4" t="n"/>
    </row>
    <row r="155">
      <c r="A155" s="3">
        <f>IF(C155="","",ROW()-1)</f>
        <v/>
      </c>
      <c r="B155" s="4" t="n"/>
      <c r="C155" s="4" t="n"/>
      <c r="D155" s="5" t="n"/>
      <c r="E155" s="5" t="n"/>
      <c r="F155" s="5" t="n"/>
      <c r="G155" s="5" t="n"/>
      <c r="H155" s="5" t="n"/>
      <c r="I155" s="5" t="n"/>
      <c r="J155" s="5" t="n"/>
      <c r="K155" s="6" t="n"/>
      <c r="L155" s="6" t="n"/>
      <c r="M155" s="6" t="n"/>
      <c r="N155" s="5" t="n"/>
      <c r="O155" s="21" t="n"/>
      <c r="P155" s="5" t="n"/>
      <c r="Q155" s="5" t="n"/>
      <c r="R155" s="6" t="n"/>
      <c r="S155" s="4" t="n"/>
      <c r="T155" s="4" t="n"/>
      <c r="U155" s="3">
        <f>IF(C155="","",IF(T155="",TODAY()-C155,T155-C155))</f>
        <v/>
      </c>
      <c r="V155" s="5" t="n"/>
      <c r="W155" s="6" t="n"/>
      <c r="X155" s="3">
        <f>IF(P155="","",IFERROR(VLOOKUP(P155,Parâmetros!$J$2:$K$5,2,FALSE),""))</f>
        <v/>
      </c>
      <c r="Y155" s="4">
        <f>IF(OR(C155="",X155=""),"",C155+X155)</f>
        <v/>
      </c>
      <c r="Z155" s="5">
        <f>IF(C155="","",IF(Q155="Concluído","Concluído",IF(Y155&lt;TODAY(),"Vencido",IF(Y155-TODAY()&lt;=2,"A vencer","No prazo"))))</f>
        <v/>
      </c>
      <c r="AA155" s="3">
        <f>IF(OR(Y155="",Q155="Concluído"),"",Y155-TODAY())</f>
        <v/>
      </c>
      <c r="AB155" s="5" t="n"/>
      <c r="AC155" s="5" t="n"/>
      <c r="AD155" s="4" t="n"/>
    </row>
    <row r="156">
      <c r="A156" s="3">
        <f>IF(C156="","",ROW()-1)</f>
        <v/>
      </c>
      <c r="B156" s="4" t="n"/>
      <c r="C156" s="4" t="n"/>
      <c r="D156" s="5" t="n"/>
      <c r="E156" s="5" t="n"/>
      <c r="F156" s="5" t="n"/>
      <c r="G156" s="5" t="n"/>
      <c r="H156" s="5" t="n"/>
      <c r="I156" s="5" t="n"/>
      <c r="J156" s="5" t="n"/>
      <c r="K156" s="6" t="n"/>
      <c r="L156" s="6" t="n"/>
      <c r="M156" s="6" t="n"/>
      <c r="N156" s="5" t="n"/>
      <c r="O156" s="21" t="n"/>
      <c r="P156" s="5" t="n"/>
      <c r="Q156" s="5" t="n"/>
      <c r="R156" s="6" t="n"/>
      <c r="S156" s="4" t="n"/>
      <c r="T156" s="4" t="n"/>
      <c r="U156" s="3">
        <f>IF(C156="","",IF(T156="",TODAY()-C156,T156-C156))</f>
        <v/>
      </c>
      <c r="V156" s="5" t="n"/>
      <c r="W156" s="6" t="n"/>
      <c r="X156" s="3">
        <f>IF(P156="","",IFERROR(VLOOKUP(P156,Parâmetros!$J$2:$K$5,2,FALSE),""))</f>
        <v/>
      </c>
      <c r="Y156" s="4">
        <f>IF(OR(C156="",X156=""),"",C156+X156)</f>
        <v/>
      </c>
      <c r="Z156" s="5">
        <f>IF(C156="","",IF(Q156="Concluído","Concluído",IF(Y156&lt;TODAY(),"Vencido",IF(Y156-TODAY()&lt;=2,"A vencer","No prazo"))))</f>
        <v/>
      </c>
      <c r="AA156" s="3">
        <f>IF(OR(Y156="",Q156="Concluído"),"",Y156-TODAY())</f>
        <v/>
      </c>
      <c r="AB156" s="5" t="n"/>
      <c r="AC156" s="5" t="n"/>
      <c r="AD156" s="4" t="n"/>
    </row>
    <row r="157">
      <c r="A157" s="3">
        <f>IF(C157="","",ROW()-1)</f>
        <v/>
      </c>
      <c r="B157" s="4" t="n"/>
      <c r="C157" s="4" t="n"/>
      <c r="D157" s="5" t="n"/>
      <c r="E157" s="5" t="n"/>
      <c r="F157" s="5" t="n"/>
      <c r="G157" s="5" t="n"/>
      <c r="H157" s="5" t="n"/>
      <c r="I157" s="5" t="n"/>
      <c r="J157" s="5" t="n"/>
      <c r="K157" s="6" t="n"/>
      <c r="L157" s="6" t="n"/>
      <c r="M157" s="6" t="n"/>
      <c r="N157" s="5" t="n"/>
      <c r="O157" s="21" t="n"/>
      <c r="P157" s="5" t="n"/>
      <c r="Q157" s="5" t="n"/>
      <c r="R157" s="6" t="n"/>
      <c r="S157" s="4" t="n"/>
      <c r="T157" s="4" t="n"/>
      <c r="U157" s="3">
        <f>IF(C157="","",IF(T157="",TODAY()-C157,T157-C157))</f>
        <v/>
      </c>
      <c r="V157" s="5" t="n"/>
      <c r="W157" s="6" t="n"/>
      <c r="X157" s="3">
        <f>IF(P157="","",IFERROR(VLOOKUP(P157,Parâmetros!$J$2:$K$5,2,FALSE),""))</f>
        <v/>
      </c>
      <c r="Y157" s="4">
        <f>IF(OR(C157="",X157=""),"",C157+X157)</f>
        <v/>
      </c>
      <c r="Z157" s="5">
        <f>IF(C157="","",IF(Q157="Concluído","Concluído",IF(Y157&lt;TODAY(),"Vencido",IF(Y157-TODAY()&lt;=2,"A vencer","No prazo"))))</f>
        <v/>
      </c>
      <c r="AA157" s="3">
        <f>IF(OR(Y157="",Q157="Concluído"),"",Y157-TODAY())</f>
        <v/>
      </c>
      <c r="AB157" s="5" t="n"/>
      <c r="AC157" s="5" t="n"/>
      <c r="AD157" s="4" t="n"/>
    </row>
    <row r="158">
      <c r="A158" s="3">
        <f>IF(C158="","",ROW()-1)</f>
        <v/>
      </c>
      <c r="B158" s="4" t="n"/>
      <c r="C158" s="4" t="n"/>
      <c r="D158" s="5" t="n"/>
      <c r="E158" s="5" t="n"/>
      <c r="F158" s="5" t="n"/>
      <c r="G158" s="5" t="n"/>
      <c r="H158" s="5" t="n"/>
      <c r="I158" s="5" t="n"/>
      <c r="J158" s="5" t="n"/>
      <c r="K158" s="6" t="n"/>
      <c r="L158" s="6" t="n"/>
      <c r="M158" s="6" t="n"/>
      <c r="N158" s="5" t="n"/>
      <c r="O158" s="21" t="n"/>
      <c r="P158" s="5" t="n"/>
      <c r="Q158" s="5" t="n"/>
      <c r="R158" s="6" t="n"/>
      <c r="S158" s="4" t="n"/>
      <c r="T158" s="4" t="n"/>
      <c r="U158" s="3">
        <f>IF(C158="","",IF(T158="",TODAY()-C158,T158-C158))</f>
        <v/>
      </c>
      <c r="V158" s="5" t="n"/>
      <c r="W158" s="6" t="n"/>
      <c r="X158" s="3">
        <f>IF(P158="","",IFERROR(VLOOKUP(P158,Parâmetros!$J$2:$K$5,2,FALSE),""))</f>
        <v/>
      </c>
      <c r="Y158" s="4">
        <f>IF(OR(C158="",X158=""),"",C158+X158)</f>
        <v/>
      </c>
      <c r="Z158" s="5">
        <f>IF(C158="","",IF(Q158="Concluído","Concluído",IF(Y158&lt;TODAY(),"Vencido",IF(Y158-TODAY()&lt;=2,"A vencer","No prazo"))))</f>
        <v/>
      </c>
      <c r="AA158" s="3">
        <f>IF(OR(Y158="",Q158="Concluído"),"",Y158-TODAY())</f>
        <v/>
      </c>
      <c r="AB158" s="5" t="n"/>
      <c r="AC158" s="5" t="n"/>
      <c r="AD158" s="4" t="n"/>
    </row>
    <row r="159">
      <c r="A159" s="3">
        <f>IF(C159="","",ROW()-1)</f>
        <v/>
      </c>
      <c r="B159" s="4" t="n"/>
      <c r="C159" s="4" t="n"/>
      <c r="D159" s="5" t="n"/>
      <c r="E159" s="5" t="n"/>
      <c r="F159" s="5" t="n"/>
      <c r="G159" s="5" t="n"/>
      <c r="H159" s="5" t="n"/>
      <c r="I159" s="5" t="n"/>
      <c r="J159" s="5" t="n"/>
      <c r="K159" s="6" t="n"/>
      <c r="L159" s="6" t="n"/>
      <c r="M159" s="6" t="n"/>
      <c r="N159" s="5" t="n"/>
      <c r="O159" s="21" t="n"/>
      <c r="P159" s="5" t="n"/>
      <c r="Q159" s="5" t="n"/>
      <c r="R159" s="6" t="n"/>
      <c r="S159" s="4" t="n"/>
      <c r="T159" s="4" t="n"/>
      <c r="U159" s="3">
        <f>IF(C159="","",IF(T159="",TODAY()-C159,T159-C159))</f>
        <v/>
      </c>
      <c r="V159" s="5" t="n"/>
      <c r="W159" s="6" t="n"/>
      <c r="X159" s="3">
        <f>IF(P159="","",IFERROR(VLOOKUP(P159,Parâmetros!$J$2:$K$5,2,FALSE),""))</f>
        <v/>
      </c>
      <c r="Y159" s="4">
        <f>IF(OR(C159="",X159=""),"",C159+X159)</f>
        <v/>
      </c>
      <c r="Z159" s="5">
        <f>IF(C159="","",IF(Q159="Concluído","Concluído",IF(Y159&lt;TODAY(),"Vencido",IF(Y159-TODAY()&lt;=2,"A vencer","No prazo"))))</f>
        <v/>
      </c>
      <c r="AA159" s="3">
        <f>IF(OR(Y159="",Q159="Concluído"),"",Y159-TODAY())</f>
        <v/>
      </c>
      <c r="AB159" s="5" t="n"/>
      <c r="AC159" s="5" t="n"/>
      <c r="AD159" s="4" t="n"/>
    </row>
    <row r="160">
      <c r="A160" s="3">
        <f>IF(C160="","",ROW()-1)</f>
        <v/>
      </c>
      <c r="B160" s="4" t="n"/>
      <c r="C160" s="4" t="n"/>
      <c r="D160" s="5" t="n"/>
      <c r="E160" s="5" t="n"/>
      <c r="F160" s="5" t="n"/>
      <c r="G160" s="5" t="n"/>
      <c r="H160" s="5" t="n"/>
      <c r="I160" s="5" t="n"/>
      <c r="J160" s="5" t="n"/>
      <c r="K160" s="6" t="n"/>
      <c r="L160" s="6" t="n"/>
      <c r="M160" s="6" t="n"/>
      <c r="N160" s="5" t="n"/>
      <c r="O160" s="21" t="n"/>
      <c r="P160" s="5" t="n"/>
      <c r="Q160" s="5" t="n"/>
      <c r="R160" s="6" t="n"/>
      <c r="S160" s="4" t="n"/>
      <c r="T160" s="4" t="n"/>
      <c r="U160" s="3">
        <f>IF(C160="","",IF(T160="",TODAY()-C160,T160-C160))</f>
        <v/>
      </c>
      <c r="V160" s="5" t="n"/>
      <c r="W160" s="6" t="n"/>
      <c r="X160" s="3">
        <f>IF(P160="","",IFERROR(VLOOKUP(P160,Parâmetros!$J$2:$K$5,2,FALSE),""))</f>
        <v/>
      </c>
      <c r="Y160" s="4">
        <f>IF(OR(C160="",X160=""),"",C160+X160)</f>
        <v/>
      </c>
      <c r="Z160" s="5">
        <f>IF(C160="","",IF(Q160="Concluído","Concluído",IF(Y160&lt;TODAY(),"Vencido",IF(Y160-TODAY()&lt;=2,"A vencer","No prazo"))))</f>
        <v/>
      </c>
      <c r="AA160" s="3">
        <f>IF(OR(Y160="",Q160="Concluído"),"",Y160-TODAY())</f>
        <v/>
      </c>
      <c r="AB160" s="5" t="n"/>
      <c r="AC160" s="5" t="n"/>
      <c r="AD160" s="4" t="n"/>
    </row>
    <row r="161">
      <c r="A161" s="3">
        <f>IF(C161="","",ROW()-1)</f>
        <v/>
      </c>
      <c r="B161" s="4" t="n"/>
      <c r="C161" s="4" t="n"/>
      <c r="D161" s="5" t="n"/>
      <c r="E161" s="5" t="n"/>
      <c r="F161" s="5" t="n"/>
      <c r="G161" s="5" t="n"/>
      <c r="H161" s="5" t="n"/>
      <c r="I161" s="5" t="n"/>
      <c r="J161" s="5" t="n"/>
      <c r="K161" s="6" t="n"/>
      <c r="L161" s="6" t="n"/>
      <c r="M161" s="6" t="n"/>
      <c r="N161" s="5" t="n"/>
      <c r="O161" s="21" t="n"/>
      <c r="P161" s="5" t="n"/>
      <c r="Q161" s="5" t="n"/>
      <c r="R161" s="6" t="n"/>
      <c r="S161" s="4" t="n"/>
      <c r="T161" s="4" t="n"/>
      <c r="U161" s="3">
        <f>IF(C161="","",IF(T161="",TODAY()-C161,T161-C161))</f>
        <v/>
      </c>
      <c r="V161" s="5" t="n"/>
      <c r="W161" s="6" t="n"/>
      <c r="X161" s="3">
        <f>IF(P161="","",IFERROR(VLOOKUP(P161,Parâmetros!$J$2:$K$5,2,FALSE),""))</f>
        <v/>
      </c>
      <c r="Y161" s="4">
        <f>IF(OR(C161="",X161=""),"",C161+X161)</f>
        <v/>
      </c>
      <c r="Z161" s="5">
        <f>IF(C161="","",IF(Q161="Concluído","Concluído",IF(Y161&lt;TODAY(),"Vencido",IF(Y161-TODAY()&lt;=2,"A vencer","No prazo"))))</f>
        <v/>
      </c>
      <c r="AA161" s="3">
        <f>IF(OR(Y161="",Q161="Concluído"),"",Y161-TODAY())</f>
        <v/>
      </c>
      <c r="AB161" s="5" t="n"/>
      <c r="AC161" s="5" t="n"/>
      <c r="AD161" s="4" t="n"/>
    </row>
    <row r="162">
      <c r="A162" s="3">
        <f>IF(C162="","",ROW()-1)</f>
        <v/>
      </c>
      <c r="B162" s="4" t="n"/>
      <c r="C162" s="4" t="n"/>
      <c r="D162" s="5" t="n"/>
      <c r="E162" s="5" t="n"/>
      <c r="F162" s="5" t="n"/>
      <c r="G162" s="5" t="n"/>
      <c r="H162" s="5" t="n"/>
      <c r="I162" s="5" t="n"/>
      <c r="J162" s="5" t="n"/>
      <c r="K162" s="6" t="n"/>
      <c r="L162" s="6" t="n"/>
      <c r="M162" s="6" t="n"/>
      <c r="N162" s="5" t="n"/>
      <c r="O162" s="21" t="n"/>
      <c r="P162" s="5" t="n"/>
      <c r="Q162" s="5" t="n"/>
      <c r="R162" s="6" t="n"/>
      <c r="S162" s="4" t="n"/>
      <c r="T162" s="4" t="n"/>
      <c r="U162" s="3">
        <f>IF(C162="","",IF(T162="",TODAY()-C162,T162-C162))</f>
        <v/>
      </c>
      <c r="V162" s="5" t="n"/>
      <c r="W162" s="6" t="n"/>
      <c r="X162" s="3">
        <f>IF(P162="","",IFERROR(VLOOKUP(P162,Parâmetros!$J$2:$K$5,2,FALSE),""))</f>
        <v/>
      </c>
      <c r="Y162" s="4">
        <f>IF(OR(C162="",X162=""),"",C162+X162)</f>
        <v/>
      </c>
      <c r="Z162" s="5">
        <f>IF(C162="","",IF(Q162="Concluído","Concluído",IF(Y162&lt;TODAY(),"Vencido",IF(Y162-TODAY()&lt;=2,"A vencer","No prazo"))))</f>
        <v/>
      </c>
      <c r="AA162" s="3">
        <f>IF(OR(Y162="",Q162="Concluído"),"",Y162-TODAY())</f>
        <v/>
      </c>
      <c r="AB162" s="5" t="n"/>
      <c r="AC162" s="5" t="n"/>
      <c r="AD162" s="4" t="n"/>
    </row>
    <row r="163">
      <c r="A163" s="3">
        <f>IF(C163="","",ROW()-1)</f>
        <v/>
      </c>
      <c r="B163" s="4" t="n"/>
      <c r="C163" s="4" t="n"/>
      <c r="D163" s="5" t="n"/>
      <c r="E163" s="5" t="n"/>
      <c r="F163" s="5" t="n"/>
      <c r="G163" s="5" t="n"/>
      <c r="H163" s="5" t="n"/>
      <c r="I163" s="5" t="n"/>
      <c r="J163" s="5" t="n"/>
      <c r="K163" s="6" t="n"/>
      <c r="L163" s="6" t="n"/>
      <c r="M163" s="6" t="n"/>
      <c r="N163" s="5" t="n"/>
      <c r="O163" s="21" t="n"/>
      <c r="P163" s="5" t="n"/>
      <c r="Q163" s="5" t="n"/>
      <c r="R163" s="6" t="n"/>
      <c r="S163" s="4" t="n"/>
      <c r="T163" s="4" t="n"/>
      <c r="U163" s="3">
        <f>IF(C163="","",IF(T163="",TODAY()-C163,T163-C163))</f>
        <v/>
      </c>
      <c r="V163" s="5" t="n"/>
      <c r="W163" s="6" t="n"/>
      <c r="X163" s="3">
        <f>IF(P163="","",IFERROR(VLOOKUP(P163,Parâmetros!$J$2:$K$5,2,FALSE),""))</f>
        <v/>
      </c>
      <c r="Y163" s="4">
        <f>IF(OR(C163="",X163=""),"",C163+X163)</f>
        <v/>
      </c>
      <c r="Z163" s="5">
        <f>IF(C163="","",IF(Q163="Concluído","Concluído",IF(Y163&lt;TODAY(),"Vencido",IF(Y163-TODAY()&lt;=2,"A vencer","No prazo"))))</f>
        <v/>
      </c>
      <c r="AA163" s="3">
        <f>IF(OR(Y163="",Q163="Concluído"),"",Y163-TODAY())</f>
        <v/>
      </c>
      <c r="AB163" s="5" t="n"/>
      <c r="AC163" s="5" t="n"/>
      <c r="AD163" s="4" t="n"/>
    </row>
    <row r="164">
      <c r="A164" s="3">
        <f>IF(C164="","",ROW()-1)</f>
        <v/>
      </c>
      <c r="B164" s="4" t="n"/>
      <c r="C164" s="4" t="n"/>
      <c r="D164" s="5" t="n"/>
      <c r="E164" s="5" t="n"/>
      <c r="F164" s="5" t="n"/>
      <c r="G164" s="5" t="n"/>
      <c r="H164" s="5" t="n"/>
      <c r="I164" s="5" t="n"/>
      <c r="J164" s="5" t="n"/>
      <c r="K164" s="6" t="n"/>
      <c r="L164" s="6" t="n"/>
      <c r="M164" s="6" t="n"/>
      <c r="N164" s="5" t="n"/>
      <c r="O164" s="21" t="n"/>
      <c r="P164" s="5" t="n"/>
      <c r="Q164" s="5" t="n"/>
      <c r="R164" s="6" t="n"/>
      <c r="S164" s="4" t="n"/>
      <c r="T164" s="4" t="n"/>
      <c r="U164" s="3">
        <f>IF(C164="","",IF(T164="",TODAY()-C164,T164-C164))</f>
        <v/>
      </c>
      <c r="V164" s="5" t="n"/>
      <c r="W164" s="6" t="n"/>
      <c r="X164" s="3">
        <f>IF(P164="","",IFERROR(VLOOKUP(P164,Parâmetros!$J$2:$K$5,2,FALSE),""))</f>
        <v/>
      </c>
      <c r="Y164" s="4">
        <f>IF(OR(C164="",X164=""),"",C164+X164)</f>
        <v/>
      </c>
      <c r="Z164" s="5">
        <f>IF(C164="","",IF(Q164="Concluído","Concluído",IF(Y164&lt;TODAY(),"Vencido",IF(Y164-TODAY()&lt;=2,"A vencer","No prazo"))))</f>
        <v/>
      </c>
      <c r="AA164" s="3">
        <f>IF(OR(Y164="",Q164="Concluído"),"",Y164-TODAY())</f>
        <v/>
      </c>
      <c r="AB164" s="5" t="n"/>
      <c r="AC164" s="5" t="n"/>
      <c r="AD164" s="4" t="n"/>
    </row>
    <row r="165">
      <c r="A165" s="3">
        <f>IF(C165="","",ROW()-1)</f>
        <v/>
      </c>
      <c r="B165" s="4" t="n"/>
      <c r="C165" s="4" t="n"/>
      <c r="D165" s="5" t="n"/>
      <c r="E165" s="5" t="n"/>
      <c r="F165" s="5" t="n"/>
      <c r="G165" s="5" t="n"/>
      <c r="H165" s="5" t="n"/>
      <c r="I165" s="5" t="n"/>
      <c r="J165" s="5" t="n"/>
      <c r="K165" s="6" t="n"/>
      <c r="L165" s="6" t="n"/>
      <c r="M165" s="6" t="n"/>
      <c r="N165" s="5" t="n"/>
      <c r="O165" s="21" t="n"/>
      <c r="P165" s="5" t="n"/>
      <c r="Q165" s="5" t="n"/>
      <c r="R165" s="6" t="n"/>
      <c r="S165" s="4" t="n"/>
      <c r="T165" s="4" t="n"/>
      <c r="U165" s="3">
        <f>IF(C165="","",IF(T165="",TODAY()-C165,T165-C165))</f>
        <v/>
      </c>
      <c r="V165" s="5" t="n"/>
      <c r="W165" s="6" t="n"/>
      <c r="X165" s="3">
        <f>IF(P165="","",IFERROR(VLOOKUP(P165,Parâmetros!$J$2:$K$5,2,FALSE),""))</f>
        <v/>
      </c>
      <c r="Y165" s="4">
        <f>IF(OR(C165="",X165=""),"",C165+X165)</f>
        <v/>
      </c>
      <c r="Z165" s="5">
        <f>IF(C165="","",IF(Q165="Concluído","Concluído",IF(Y165&lt;TODAY(),"Vencido",IF(Y165-TODAY()&lt;=2,"A vencer","No prazo"))))</f>
        <v/>
      </c>
      <c r="AA165" s="3">
        <f>IF(OR(Y165="",Q165="Concluído"),"",Y165-TODAY())</f>
        <v/>
      </c>
      <c r="AB165" s="5" t="n"/>
      <c r="AC165" s="5" t="n"/>
      <c r="AD165" s="4" t="n"/>
    </row>
    <row r="166">
      <c r="A166" s="3">
        <f>IF(C166="","",ROW()-1)</f>
        <v/>
      </c>
      <c r="B166" s="4" t="n"/>
      <c r="C166" s="4" t="n"/>
      <c r="D166" s="5" t="n"/>
      <c r="E166" s="5" t="n"/>
      <c r="F166" s="5" t="n"/>
      <c r="G166" s="5" t="n"/>
      <c r="H166" s="5" t="n"/>
      <c r="I166" s="5" t="n"/>
      <c r="J166" s="5" t="n"/>
      <c r="K166" s="6" t="n"/>
      <c r="L166" s="6" t="n"/>
      <c r="M166" s="6" t="n"/>
      <c r="N166" s="5" t="n"/>
      <c r="O166" s="21" t="n"/>
      <c r="P166" s="5" t="n"/>
      <c r="Q166" s="5" t="n"/>
      <c r="R166" s="6" t="n"/>
      <c r="S166" s="4" t="n"/>
      <c r="T166" s="4" t="n"/>
      <c r="U166" s="3">
        <f>IF(C166="","",IF(T166="",TODAY()-C166,T166-C166))</f>
        <v/>
      </c>
      <c r="V166" s="5" t="n"/>
      <c r="W166" s="6" t="n"/>
      <c r="X166" s="3">
        <f>IF(P166="","",IFERROR(VLOOKUP(P166,Parâmetros!$J$2:$K$5,2,FALSE),""))</f>
        <v/>
      </c>
      <c r="Y166" s="4">
        <f>IF(OR(C166="",X166=""),"",C166+X166)</f>
        <v/>
      </c>
      <c r="Z166" s="5">
        <f>IF(C166="","",IF(Q166="Concluído","Concluído",IF(Y166&lt;TODAY(),"Vencido",IF(Y166-TODAY()&lt;=2,"A vencer","No prazo"))))</f>
        <v/>
      </c>
      <c r="AA166" s="3">
        <f>IF(OR(Y166="",Q166="Concluído"),"",Y166-TODAY())</f>
        <v/>
      </c>
      <c r="AB166" s="5" t="n"/>
      <c r="AC166" s="5" t="n"/>
      <c r="AD166" s="4" t="n"/>
    </row>
    <row r="167">
      <c r="A167" s="3">
        <f>IF(C167="","",ROW()-1)</f>
        <v/>
      </c>
      <c r="B167" s="4" t="n"/>
      <c r="C167" s="4" t="n"/>
      <c r="D167" s="5" t="n"/>
      <c r="E167" s="5" t="n"/>
      <c r="F167" s="5" t="n"/>
      <c r="G167" s="5" t="n"/>
      <c r="H167" s="5" t="n"/>
      <c r="I167" s="5" t="n"/>
      <c r="J167" s="5" t="n"/>
      <c r="K167" s="6" t="n"/>
      <c r="L167" s="6" t="n"/>
      <c r="M167" s="6" t="n"/>
      <c r="N167" s="5" t="n"/>
      <c r="O167" s="21" t="n"/>
      <c r="P167" s="5" t="n"/>
      <c r="Q167" s="5" t="n"/>
      <c r="R167" s="6" t="n"/>
      <c r="S167" s="4" t="n"/>
      <c r="T167" s="4" t="n"/>
      <c r="U167" s="3">
        <f>IF(C167="","",IF(T167="",TODAY()-C167,T167-C167))</f>
        <v/>
      </c>
      <c r="V167" s="5" t="n"/>
      <c r="W167" s="6" t="n"/>
      <c r="X167" s="3">
        <f>IF(P167="","",IFERROR(VLOOKUP(P167,Parâmetros!$J$2:$K$5,2,FALSE),""))</f>
        <v/>
      </c>
      <c r="Y167" s="4">
        <f>IF(OR(C167="",X167=""),"",C167+X167)</f>
        <v/>
      </c>
      <c r="Z167" s="5">
        <f>IF(C167="","",IF(Q167="Concluído","Concluído",IF(Y167&lt;TODAY(),"Vencido",IF(Y167-TODAY()&lt;=2,"A vencer","No prazo"))))</f>
        <v/>
      </c>
      <c r="AA167" s="3">
        <f>IF(OR(Y167="",Q167="Concluído"),"",Y167-TODAY())</f>
        <v/>
      </c>
      <c r="AB167" s="5" t="n"/>
      <c r="AC167" s="5" t="n"/>
      <c r="AD167" s="4" t="n"/>
    </row>
    <row r="168">
      <c r="A168" s="3">
        <f>IF(C168="","",ROW()-1)</f>
        <v/>
      </c>
      <c r="B168" s="4" t="n"/>
      <c r="C168" s="4" t="n"/>
      <c r="D168" s="5" t="n"/>
      <c r="E168" s="5" t="n"/>
      <c r="F168" s="5" t="n"/>
      <c r="G168" s="5" t="n"/>
      <c r="H168" s="5" t="n"/>
      <c r="I168" s="5" t="n"/>
      <c r="J168" s="5" t="n"/>
      <c r="K168" s="6" t="n"/>
      <c r="L168" s="6" t="n"/>
      <c r="M168" s="6" t="n"/>
      <c r="N168" s="5" t="n"/>
      <c r="O168" s="21" t="n"/>
      <c r="P168" s="5" t="n"/>
      <c r="Q168" s="5" t="n"/>
      <c r="R168" s="6" t="n"/>
      <c r="S168" s="4" t="n"/>
      <c r="T168" s="4" t="n"/>
      <c r="U168" s="3">
        <f>IF(C168="","",IF(T168="",TODAY()-C168,T168-C168))</f>
        <v/>
      </c>
      <c r="V168" s="5" t="n"/>
      <c r="W168" s="6" t="n"/>
      <c r="X168" s="3">
        <f>IF(P168="","",IFERROR(VLOOKUP(P168,Parâmetros!$J$2:$K$5,2,FALSE),""))</f>
        <v/>
      </c>
      <c r="Y168" s="4">
        <f>IF(OR(C168="",X168=""),"",C168+X168)</f>
        <v/>
      </c>
      <c r="Z168" s="5">
        <f>IF(C168="","",IF(Q168="Concluído","Concluído",IF(Y168&lt;TODAY(),"Vencido",IF(Y168-TODAY()&lt;=2,"A vencer","No prazo"))))</f>
        <v/>
      </c>
      <c r="AA168" s="3">
        <f>IF(OR(Y168="",Q168="Concluído"),"",Y168-TODAY())</f>
        <v/>
      </c>
      <c r="AB168" s="5" t="n"/>
      <c r="AC168" s="5" t="n"/>
      <c r="AD168" s="4" t="n"/>
    </row>
    <row r="169">
      <c r="A169" s="3">
        <f>IF(C169="","",ROW()-1)</f>
        <v/>
      </c>
      <c r="B169" s="4" t="n"/>
      <c r="C169" s="4" t="n"/>
      <c r="D169" s="5" t="n"/>
      <c r="E169" s="5" t="n"/>
      <c r="F169" s="5" t="n"/>
      <c r="G169" s="5" t="n"/>
      <c r="H169" s="5" t="n"/>
      <c r="I169" s="5" t="n"/>
      <c r="J169" s="5" t="n"/>
      <c r="K169" s="6" t="n"/>
      <c r="L169" s="6" t="n"/>
      <c r="M169" s="6" t="n"/>
      <c r="N169" s="5" t="n"/>
      <c r="O169" s="21" t="n"/>
      <c r="P169" s="5" t="n"/>
      <c r="Q169" s="5" t="n"/>
      <c r="R169" s="6" t="n"/>
      <c r="S169" s="4" t="n"/>
      <c r="T169" s="4" t="n"/>
      <c r="U169" s="3">
        <f>IF(C169="","",IF(T169="",TODAY()-C169,T169-C169))</f>
        <v/>
      </c>
      <c r="V169" s="5" t="n"/>
      <c r="W169" s="6" t="n"/>
      <c r="X169" s="3">
        <f>IF(P169="","",IFERROR(VLOOKUP(P169,Parâmetros!$J$2:$K$5,2,FALSE),""))</f>
        <v/>
      </c>
      <c r="Y169" s="4">
        <f>IF(OR(C169="",X169=""),"",C169+X169)</f>
        <v/>
      </c>
      <c r="Z169" s="5">
        <f>IF(C169="","",IF(Q169="Concluído","Concluído",IF(Y169&lt;TODAY(),"Vencido",IF(Y169-TODAY()&lt;=2,"A vencer","No prazo"))))</f>
        <v/>
      </c>
      <c r="AA169" s="3">
        <f>IF(OR(Y169="",Q169="Concluído"),"",Y169-TODAY())</f>
        <v/>
      </c>
      <c r="AB169" s="5" t="n"/>
      <c r="AC169" s="5" t="n"/>
      <c r="AD169" s="4" t="n"/>
    </row>
    <row r="170">
      <c r="A170" s="3">
        <f>IF(C170="","",ROW()-1)</f>
        <v/>
      </c>
      <c r="B170" s="4" t="n"/>
      <c r="C170" s="4" t="n"/>
      <c r="D170" s="5" t="n"/>
      <c r="E170" s="5" t="n"/>
      <c r="F170" s="5" t="n"/>
      <c r="G170" s="5" t="n"/>
      <c r="H170" s="5" t="n"/>
      <c r="I170" s="5" t="n"/>
      <c r="J170" s="5" t="n"/>
      <c r="K170" s="6" t="n"/>
      <c r="L170" s="6" t="n"/>
      <c r="M170" s="6" t="n"/>
      <c r="N170" s="5" t="n"/>
      <c r="O170" s="21" t="n"/>
      <c r="P170" s="5" t="n"/>
      <c r="Q170" s="5" t="n"/>
      <c r="R170" s="6" t="n"/>
      <c r="S170" s="4" t="n"/>
      <c r="T170" s="4" t="n"/>
      <c r="U170" s="3">
        <f>IF(C170="","",IF(T170="",TODAY()-C170,T170-C170))</f>
        <v/>
      </c>
      <c r="V170" s="5" t="n"/>
      <c r="W170" s="6" t="n"/>
      <c r="X170" s="3">
        <f>IF(P170="","",IFERROR(VLOOKUP(P170,Parâmetros!$J$2:$K$5,2,FALSE),""))</f>
        <v/>
      </c>
      <c r="Y170" s="4">
        <f>IF(OR(C170="",X170=""),"",C170+X170)</f>
        <v/>
      </c>
      <c r="Z170" s="5">
        <f>IF(C170="","",IF(Q170="Concluído","Concluído",IF(Y170&lt;TODAY(),"Vencido",IF(Y170-TODAY()&lt;=2,"A vencer","No prazo"))))</f>
        <v/>
      </c>
      <c r="AA170" s="3">
        <f>IF(OR(Y170="",Q170="Concluído"),"",Y170-TODAY())</f>
        <v/>
      </c>
      <c r="AB170" s="5" t="n"/>
      <c r="AC170" s="5" t="n"/>
      <c r="AD170" s="4" t="n"/>
    </row>
    <row r="171">
      <c r="A171" s="3">
        <f>IF(C171="","",ROW()-1)</f>
        <v/>
      </c>
      <c r="B171" s="4" t="n"/>
      <c r="C171" s="4" t="n"/>
      <c r="D171" s="5" t="n"/>
      <c r="E171" s="5" t="n"/>
      <c r="F171" s="5" t="n"/>
      <c r="G171" s="5" t="n"/>
      <c r="H171" s="5" t="n"/>
      <c r="I171" s="5" t="n"/>
      <c r="J171" s="5" t="n"/>
      <c r="K171" s="6" t="n"/>
      <c r="L171" s="6" t="n"/>
      <c r="M171" s="6" t="n"/>
      <c r="N171" s="5" t="n"/>
      <c r="O171" s="21" t="n"/>
      <c r="P171" s="5" t="n"/>
      <c r="Q171" s="5" t="n"/>
      <c r="R171" s="6" t="n"/>
      <c r="S171" s="4" t="n"/>
      <c r="T171" s="4" t="n"/>
      <c r="U171" s="3">
        <f>IF(C171="","",IF(T171="",TODAY()-C171,T171-C171))</f>
        <v/>
      </c>
      <c r="V171" s="5" t="n"/>
      <c r="W171" s="6" t="n"/>
      <c r="X171" s="3">
        <f>IF(P171="","",IFERROR(VLOOKUP(P171,Parâmetros!$J$2:$K$5,2,FALSE),""))</f>
        <v/>
      </c>
      <c r="Y171" s="4">
        <f>IF(OR(C171="",X171=""),"",C171+X171)</f>
        <v/>
      </c>
      <c r="Z171" s="5">
        <f>IF(C171="","",IF(Q171="Concluído","Concluído",IF(Y171&lt;TODAY(),"Vencido",IF(Y171-TODAY()&lt;=2,"A vencer","No prazo"))))</f>
        <v/>
      </c>
      <c r="AA171" s="3">
        <f>IF(OR(Y171="",Q171="Concluído"),"",Y171-TODAY())</f>
        <v/>
      </c>
      <c r="AB171" s="5" t="n"/>
      <c r="AC171" s="5" t="n"/>
      <c r="AD171" s="4" t="n"/>
    </row>
    <row r="172">
      <c r="A172" s="3">
        <f>IF(C172="","",ROW()-1)</f>
        <v/>
      </c>
      <c r="B172" s="4" t="n"/>
      <c r="C172" s="4" t="n"/>
      <c r="D172" s="5" t="n"/>
      <c r="E172" s="5" t="n"/>
      <c r="F172" s="5" t="n"/>
      <c r="G172" s="5" t="n"/>
      <c r="H172" s="5" t="n"/>
      <c r="I172" s="5" t="n"/>
      <c r="J172" s="5" t="n"/>
      <c r="K172" s="6" t="n"/>
      <c r="L172" s="6" t="n"/>
      <c r="M172" s="6" t="n"/>
      <c r="N172" s="5" t="n"/>
      <c r="O172" s="21" t="n"/>
      <c r="P172" s="5" t="n"/>
      <c r="Q172" s="5" t="n"/>
      <c r="R172" s="6" t="n"/>
      <c r="S172" s="4" t="n"/>
      <c r="T172" s="4" t="n"/>
      <c r="U172" s="3">
        <f>IF(C172="","",IF(T172="",TODAY()-C172,T172-C172))</f>
        <v/>
      </c>
      <c r="V172" s="5" t="n"/>
      <c r="W172" s="6" t="n"/>
      <c r="X172" s="3">
        <f>IF(P172="","",IFERROR(VLOOKUP(P172,Parâmetros!$J$2:$K$5,2,FALSE),""))</f>
        <v/>
      </c>
      <c r="Y172" s="4">
        <f>IF(OR(C172="",X172=""),"",C172+X172)</f>
        <v/>
      </c>
      <c r="Z172" s="5">
        <f>IF(C172="","",IF(Q172="Concluído","Concluído",IF(Y172&lt;TODAY(),"Vencido",IF(Y172-TODAY()&lt;=2,"A vencer","No prazo"))))</f>
        <v/>
      </c>
      <c r="AA172" s="3">
        <f>IF(OR(Y172="",Q172="Concluído"),"",Y172-TODAY())</f>
        <v/>
      </c>
      <c r="AB172" s="5" t="n"/>
      <c r="AC172" s="5" t="n"/>
      <c r="AD172" s="4" t="n"/>
    </row>
    <row r="173">
      <c r="A173" s="3">
        <f>IF(C173="","",ROW()-1)</f>
        <v/>
      </c>
      <c r="B173" s="4" t="n"/>
      <c r="C173" s="4" t="n"/>
      <c r="D173" s="5" t="n"/>
      <c r="E173" s="5" t="n"/>
      <c r="F173" s="5" t="n"/>
      <c r="G173" s="5" t="n"/>
      <c r="H173" s="5" t="n"/>
      <c r="I173" s="5" t="n"/>
      <c r="J173" s="5" t="n"/>
      <c r="K173" s="6" t="n"/>
      <c r="L173" s="6" t="n"/>
      <c r="M173" s="6" t="n"/>
      <c r="N173" s="5" t="n"/>
      <c r="O173" s="21" t="n"/>
      <c r="P173" s="5" t="n"/>
      <c r="Q173" s="5" t="n"/>
      <c r="R173" s="6" t="n"/>
      <c r="S173" s="4" t="n"/>
      <c r="T173" s="4" t="n"/>
      <c r="U173" s="3">
        <f>IF(C173="","",IF(T173="",TODAY()-C173,T173-C173))</f>
        <v/>
      </c>
      <c r="V173" s="5" t="n"/>
      <c r="W173" s="6" t="n"/>
      <c r="X173" s="3">
        <f>IF(P173="","",IFERROR(VLOOKUP(P173,Parâmetros!$J$2:$K$5,2,FALSE),""))</f>
        <v/>
      </c>
      <c r="Y173" s="4">
        <f>IF(OR(C173="",X173=""),"",C173+X173)</f>
        <v/>
      </c>
      <c r="Z173" s="5">
        <f>IF(C173="","",IF(Q173="Concluído","Concluído",IF(Y173&lt;TODAY(),"Vencido",IF(Y173-TODAY()&lt;=2,"A vencer","No prazo"))))</f>
        <v/>
      </c>
      <c r="AA173" s="3">
        <f>IF(OR(Y173="",Q173="Concluído"),"",Y173-TODAY())</f>
        <v/>
      </c>
      <c r="AB173" s="5" t="n"/>
      <c r="AC173" s="5" t="n"/>
      <c r="AD173" s="4" t="n"/>
    </row>
    <row r="174">
      <c r="A174" s="3">
        <f>IF(C174="","",ROW()-1)</f>
        <v/>
      </c>
      <c r="B174" s="4" t="n"/>
      <c r="C174" s="4" t="n"/>
      <c r="D174" s="5" t="n"/>
      <c r="E174" s="5" t="n"/>
      <c r="F174" s="5" t="n"/>
      <c r="G174" s="5" t="n"/>
      <c r="H174" s="5" t="n"/>
      <c r="I174" s="5" t="n"/>
      <c r="J174" s="5" t="n"/>
      <c r="K174" s="6" t="n"/>
      <c r="L174" s="6" t="n"/>
      <c r="M174" s="6" t="n"/>
      <c r="N174" s="5" t="n"/>
      <c r="O174" s="21" t="n"/>
      <c r="P174" s="5" t="n"/>
      <c r="Q174" s="5" t="n"/>
      <c r="R174" s="6" t="n"/>
      <c r="S174" s="4" t="n"/>
      <c r="T174" s="4" t="n"/>
      <c r="U174" s="3">
        <f>IF(C174="","",IF(T174="",TODAY()-C174,T174-C174))</f>
        <v/>
      </c>
      <c r="V174" s="5" t="n"/>
      <c r="W174" s="6" t="n"/>
      <c r="X174" s="3">
        <f>IF(P174="","",IFERROR(VLOOKUP(P174,Parâmetros!$J$2:$K$5,2,FALSE),""))</f>
        <v/>
      </c>
      <c r="Y174" s="4">
        <f>IF(OR(C174="",X174=""),"",C174+X174)</f>
        <v/>
      </c>
      <c r="Z174" s="5">
        <f>IF(C174="","",IF(Q174="Concluído","Concluído",IF(Y174&lt;TODAY(),"Vencido",IF(Y174-TODAY()&lt;=2,"A vencer","No prazo"))))</f>
        <v/>
      </c>
      <c r="AA174" s="3">
        <f>IF(OR(Y174="",Q174="Concluído"),"",Y174-TODAY())</f>
        <v/>
      </c>
      <c r="AB174" s="5" t="n"/>
      <c r="AC174" s="5" t="n"/>
      <c r="AD174" s="4" t="n"/>
    </row>
    <row r="175">
      <c r="A175" s="3">
        <f>IF(C175="","",ROW()-1)</f>
        <v/>
      </c>
      <c r="B175" s="4" t="n"/>
      <c r="C175" s="4" t="n"/>
      <c r="D175" s="5" t="n"/>
      <c r="E175" s="5" t="n"/>
      <c r="F175" s="5" t="n"/>
      <c r="G175" s="5" t="n"/>
      <c r="H175" s="5" t="n"/>
      <c r="I175" s="5" t="n"/>
      <c r="J175" s="5" t="n"/>
      <c r="K175" s="6" t="n"/>
      <c r="L175" s="6" t="n"/>
      <c r="M175" s="6" t="n"/>
      <c r="N175" s="5" t="n"/>
      <c r="O175" s="21" t="n"/>
      <c r="P175" s="5" t="n"/>
      <c r="Q175" s="5" t="n"/>
      <c r="R175" s="6" t="n"/>
      <c r="S175" s="4" t="n"/>
      <c r="T175" s="4" t="n"/>
      <c r="U175" s="3">
        <f>IF(C175="","",IF(T175="",TODAY()-C175,T175-C175))</f>
        <v/>
      </c>
      <c r="V175" s="5" t="n"/>
      <c r="W175" s="6" t="n"/>
      <c r="X175" s="3">
        <f>IF(P175="","",IFERROR(VLOOKUP(P175,Parâmetros!$J$2:$K$5,2,FALSE),""))</f>
        <v/>
      </c>
      <c r="Y175" s="4">
        <f>IF(OR(C175="",X175=""),"",C175+X175)</f>
        <v/>
      </c>
      <c r="Z175" s="5">
        <f>IF(C175="","",IF(Q175="Concluído","Concluído",IF(Y175&lt;TODAY(),"Vencido",IF(Y175-TODAY()&lt;=2,"A vencer","No prazo"))))</f>
        <v/>
      </c>
      <c r="AA175" s="3">
        <f>IF(OR(Y175="",Q175="Concluído"),"",Y175-TODAY())</f>
        <v/>
      </c>
      <c r="AB175" s="5" t="n"/>
      <c r="AC175" s="5" t="n"/>
      <c r="AD175" s="4" t="n"/>
    </row>
    <row r="176">
      <c r="A176" s="3">
        <f>IF(C176="","",ROW()-1)</f>
        <v/>
      </c>
      <c r="B176" s="4" t="n"/>
      <c r="C176" s="4" t="n"/>
      <c r="D176" s="5" t="n"/>
      <c r="E176" s="5" t="n"/>
      <c r="F176" s="5" t="n"/>
      <c r="G176" s="5" t="n"/>
      <c r="H176" s="5" t="n"/>
      <c r="I176" s="5" t="n"/>
      <c r="J176" s="5" t="n"/>
      <c r="K176" s="6" t="n"/>
      <c r="L176" s="6" t="n"/>
      <c r="M176" s="6" t="n"/>
      <c r="N176" s="5" t="n"/>
      <c r="O176" s="21" t="n"/>
      <c r="P176" s="5" t="n"/>
      <c r="Q176" s="5" t="n"/>
      <c r="R176" s="6" t="n"/>
      <c r="S176" s="4" t="n"/>
      <c r="T176" s="4" t="n"/>
      <c r="U176" s="3">
        <f>IF(C176="","",IF(T176="",TODAY()-C176,T176-C176))</f>
        <v/>
      </c>
      <c r="V176" s="5" t="n"/>
      <c r="W176" s="6" t="n"/>
      <c r="X176" s="3">
        <f>IF(P176="","",IFERROR(VLOOKUP(P176,Parâmetros!$J$2:$K$5,2,FALSE),""))</f>
        <v/>
      </c>
      <c r="Y176" s="4">
        <f>IF(OR(C176="",X176=""),"",C176+X176)</f>
        <v/>
      </c>
      <c r="Z176" s="5">
        <f>IF(C176="","",IF(Q176="Concluído","Concluído",IF(Y176&lt;TODAY(),"Vencido",IF(Y176-TODAY()&lt;=2,"A vencer","No prazo"))))</f>
        <v/>
      </c>
      <c r="AA176" s="3">
        <f>IF(OR(Y176="",Q176="Concluído"),"",Y176-TODAY())</f>
        <v/>
      </c>
      <c r="AB176" s="5" t="n"/>
      <c r="AC176" s="5" t="n"/>
      <c r="AD176" s="4" t="n"/>
    </row>
    <row r="177">
      <c r="A177" s="3">
        <f>IF(C177="","",ROW()-1)</f>
        <v/>
      </c>
      <c r="B177" s="4" t="n"/>
      <c r="C177" s="4" t="n"/>
      <c r="D177" s="5" t="n"/>
      <c r="E177" s="5" t="n"/>
      <c r="F177" s="5" t="n"/>
      <c r="G177" s="5" t="n"/>
      <c r="H177" s="5" t="n"/>
      <c r="I177" s="5" t="n"/>
      <c r="J177" s="5" t="n"/>
      <c r="K177" s="6" t="n"/>
      <c r="L177" s="6" t="n"/>
      <c r="M177" s="6" t="n"/>
      <c r="N177" s="5" t="n"/>
      <c r="O177" s="21" t="n"/>
      <c r="P177" s="5" t="n"/>
      <c r="Q177" s="5" t="n"/>
      <c r="R177" s="6" t="n"/>
      <c r="S177" s="4" t="n"/>
      <c r="T177" s="4" t="n"/>
      <c r="U177" s="3">
        <f>IF(C177="","",IF(T177="",TODAY()-C177,T177-C177))</f>
        <v/>
      </c>
      <c r="V177" s="5" t="n"/>
      <c r="W177" s="6" t="n"/>
      <c r="X177" s="3">
        <f>IF(P177="","",IFERROR(VLOOKUP(P177,Parâmetros!$J$2:$K$5,2,FALSE),""))</f>
        <v/>
      </c>
      <c r="Y177" s="4">
        <f>IF(OR(C177="",X177=""),"",C177+X177)</f>
        <v/>
      </c>
      <c r="Z177" s="5">
        <f>IF(C177="","",IF(Q177="Concluído","Concluído",IF(Y177&lt;TODAY(),"Vencido",IF(Y177-TODAY()&lt;=2,"A vencer","No prazo"))))</f>
        <v/>
      </c>
      <c r="AA177" s="3">
        <f>IF(OR(Y177="",Q177="Concluído"),"",Y177-TODAY())</f>
        <v/>
      </c>
      <c r="AB177" s="5" t="n"/>
      <c r="AC177" s="5" t="n"/>
      <c r="AD177" s="4" t="n"/>
    </row>
    <row r="178">
      <c r="A178" s="3">
        <f>IF(C178="","",ROW()-1)</f>
        <v/>
      </c>
      <c r="B178" s="4" t="n"/>
      <c r="C178" s="4" t="n"/>
      <c r="D178" s="5" t="n"/>
      <c r="E178" s="5" t="n"/>
      <c r="F178" s="5" t="n"/>
      <c r="G178" s="5" t="n"/>
      <c r="H178" s="5" t="n"/>
      <c r="I178" s="5" t="n"/>
      <c r="J178" s="5" t="n"/>
      <c r="K178" s="6" t="n"/>
      <c r="L178" s="6" t="n"/>
      <c r="M178" s="6" t="n"/>
      <c r="N178" s="5" t="n"/>
      <c r="O178" s="21" t="n"/>
      <c r="P178" s="5" t="n"/>
      <c r="Q178" s="5" t="n"/>
      <c r="R178" s="6" t="n"/>
      <c r="S178" s="4" t="n"/>
      <c r="T178" s="4" t="n"/>
      <c r="U178" s="3">
        <f>IF(C178="","",IF(T178="",TODAY()-C178,T178-C178))</f>
        <v/>
      </c>
      <c r="V178" s="5" t="n"/>
      <c r="W178" s="6" t="n"/>
      <c r="X178" s="3">
        <f>IF(P178="","",IFERROR(VLOOKUP(P178,Parâmetros!$J$2:$K$5,2,FALSE),""))</f>
        <v/>
      </c>
      <c r="Y178" s="4">
        <f>IF(OR(C178="",X178=""),"",C178+X178)</f>
        <v/>
      </c>
      <c r="Z178" s="5">
        <f>IF(C178="","",IF(Q178="Concluído","Concluído",IF(Y178&lt;TODAY(),"Vencido",IF(Y178-TODAY()&lt;=2,"A vencer","No prazo"))))</f>
        <v/>
      </c>
      <c r="AA178" s="3">
        <f>IF(OR(Y178="",Q178="Concluído"),"",Y178-TODAY())</f>
        <v/>
      </c>
      <c r="AB178" s="5" t="n"/>
      <c r="AC178" s="5" t="n"/>
      <c r="AD178" s="4" t="n"/>
    </row>
    <row r="179">
      <c r="A179" s="3">
        <f>IF(C179="","",ROW()-1)</f>
        <v/>
      </c>
      <c r="B179" s="4" t="n"/>
      <c r="C179" s="4" t="n"/>
      <c r="D179" s="5" t="n"/>
      <c r="E179" s="5" t="n"/>
      <c r="F179" s="5" t="n"/>
      <c r="G179" s="5" t="n"/>
      <c r="H179" s="5" t="n"/>
      <c r="I179" s="5" t="n"/>
      <c r="J179" s="5" t="n"/>
      <c r="K179" s="6" t="n"/>
      <c r="L179" s="6" t="n"/>
      <c r="M179" s="6" t="n"/>
      <c r="N179" s="5" t="n"/>
      <c r="O179" s="21" t="n"/>
      <c r="P179" s="5" t="n"/>
      <c r="Q179" s="5" t="n"/>
      <c r="R179" s="6" t="n"/>
      <c r="S179" s="4" t="n"/>
      <c r="T179" s="4" t="n"/>
      <c r="U179" s="3">
        <f>IF(C179="","",IF(T179="",TODAY()-C179,T179-C179))</f>
        <v/>
      </c>
      <c r="V179" s="5" t="n"/>
      <c r="W179" s="6" t="n"/>
      <c r="X179" s="3">
        <f>IF(P179="","",IFERROR(VLOOKUP(P179,Parâmetros!$J$2:$K$5,2,FALSE),""))</f>
        <v/>
      </c>
      <c r="Y179" s="4">
        <f>IF(OR(C179="",X179=""),"",C179+X179)</f>
        <v/>
      </c>
      <c r="Z179" s="5">
        <f>IF(C179="","",IF(Q179="Concluído","Concluído",IF(Y179&lt;TODAY(),"Vencido",IF(Y179-TODAY()&lt;=2,"A vencer","No prazo"))))</f>
        <v/>
      </c>
      <c r="AA179" s="3">
        <f>IF(OR(Y179="",Q179="Concluído"),"",Y179-TODAY())</f>
        <v/>
      </c>
      <c r="AB179" s="5" t="n"/>
      <c r="AC179" s="5" t="n"/>
      <c r="AD179" s="4" t="n"/>
    </row>
    <row r="180">
      <c r="A180" s="3">
        <f>IF(C180="","",ROW()-1)</f>
        <v/>
      </c>
      <c r="B180" s="4" t="n"/>
      <c r="C180" s="4" t="n"/>
      <c r="D180" s="5" t="n"/>
      <c r="E180" s="5" t="n"/>
      <c r="F180" s="5" t="n"/>
      <c r="G180" s="5" t="n"/>
      <c r="H180" s="5" t="n"/>
      <c r="I180" s="5" t="n"/>
      <c r="J180" s="5" t="n"/>
      <c r="K180" s="6" t="n"/>
      <c r="L180" s="6" t="n"/>
      <c r="M180" s="6" t="n"/>
      <c r="N180" s="5" t="n"/>
      <c r="O180" s="21" t="n"/>
      <c r="P180" s="5" t="n"/>
      <c r="Q180" s="5" t="n"/>
      <c r="R180" s="6" t="n"/>
      <c r="S180" s="4" t="n"/>
      <c r="T180" s="4" t="n"/>
      <c r="U180" s="3">
        <f>IF(C180="","",IF(T180="",TODAY()-C180,T180-C180))</f>
        <v/>
      </c>
      <c r="V180" s="5" t="n"/>
      <c r="W180" s="6" t="n"/>
      <c r="X180" s="3">
        <f>IF(P180="","",IFERROR(VLOOKUP(P180,Parâmetros!$J$2:$K$5,2,FALSE),""))</f>
        <v/>
      </c>
      <c r="Y180" s="4">
        <f>IF(OR(C180="",X180=""),"",C180+X180)</f>
        <v/>
      </c>
      <c r="Z180" s="5">
        <f>IF(C180="","",IF(Q180="Concluído","Concluído",IF(Y180&lt;TODAY(),"Vencido",IF(Y180-TODAY()&lt;=2,"A vencer","No prazo"))))</f>
        <v/>
      </c>
      <c r="AA180" s="3">
        <f>IF(OR(Y180="",Q180="Concluído"),"",Y180-TODAY())</f>
        <v/>
      </c>
      <c r="AB180" s="5" t="n"/>
      <c r="AC180" s="5" t="n"/>
      <c r="AD180" s="4" t="n"/>
    </row>
    <row r="181">
      <c r="A181" s="3">
        <f>IF(C181="","",ROW()-1)</f>
        <v/>
      </c>
      <c r="B181" s="4" t="n"/>
      <c r="C181" s="4" t="n"/>
      <c r="D181" s="5" t="n"/>
      <c r="E181" s="5" t="n"/>
      <c r="F181" s="5" t="n"/>
      <c r="G181" s="5" t="n"/>
      <c r="H181" s="5" t="n"/>
      <c r="I181" s="5" t="n"/>
      <c r="J181" s="5" t="n"/>
      <c r="K181" s="6" t="n"/>
      <c r="L181" s="6" t="n"/>
      <c r="M181" s="6" t="n"/>
      <c r="N181" s="5" t="n"/>
      <c r="O181" s="21" t="n"/>
      <c r="P181" s="5" t="n"/>
      <c r="Q181" s="5" t="n"/>
      <c r="R181" s="6" t="n"/>
      <c r="S181" s="4" t="n"/>
      <c r="T181" s="4" t="n"/>
      <c r="U181" s="3">
        <f>IF(C181="","",IF(T181="",TODAY()-C181,T181-C181))</f>
        <v/>
      </c>
      <c r="V181" s="5" t="n"/>
      <c r="W181" s="6" t="n"/>
      <c r="X181" s="3">
        <f>IF(P181="","",IFERROR(VLOOKUP(P181,Parâmetros!$J$2:$K$5,2,FALSE),""))</f>
        <v/>
      </c>
      <c r="Y181" s="4">
        <f>IF(OR(C181="",X181=""),"",C181+X181)</f>
        <v/>
      </c>
      <c r="Z181" s="5">
        <f>IF(C181="","",IF(Q181="Concluído","Concluído",IF(Y181&lt;TODAY(),"Vencido",IF(Y181-TODAY()&lt;=2,"A vencer","No prazo"))))</f>
        <v/>
      </c>
      <c r="AA181" s="3">
        <f>IF(OR(Y181="",Q181="Concluído"),"",Y181-TODAY())</f>
        <v/>
      </c>
      <c r="AB181" s="5" t="n"/>
      <c r="AC181" s="5" t="n"/>
      <c r="AD181" s="4" t="n"/>
    </row>
    <row r="182">
      <c r="A182" s="3">
        <f>IF(C182="","",ROW()-1)</f>
        <v/>
      </c>
      <c r="B182" s="4" t="n"/>
      <c r="C182" s="4" t="n"/>
      <c r="D182" s="5" t="n"/>
      <c r="E182" s="5" t="n"/>
      <c r="F182" s="5" t="n"/>
      <c r="G182" s="5" t="n"/>
      <c r="H182" s="5" t="n"/>
      <c r="I182" s="5" t="n"/>
      <c r="J182" s="5" t="n"/>
      <c r="K182" s="6" t="n"/>
      <c r="L182" s="6" t="n"/>
      <c r="M182" s="6" t="n"/>
      <c r="N182" s="5" t="n"/>
      <c r="O182" s="21" t="n"/>
      <c r="P182" s="5" t="n"/>
      <c r="Q182" s="5" t="n"/>
      <c r="R182" s="6" t="n"/>
      <c r="S182" s="4" t="n"/>
      <c r="T182" s="4" t="n"/>
      <c r="U182" s="3">
        <f>IF(C182="","",IF(T182="",TODAY()-C182,T182-C182))</f>
        <v/>
      </c>
      <c r="V182" s="5" t="n"/>
      <c r="W182" s="6" t="n"/>
      <c r="X182" s="3">
        <f>IF(P182="","",IFERROR(VLOOKUP(P182,Parâmetros!$J$2:$K$5,2,FALSE),""))</f>
        <v/>
      </c>
      <c r="Y182" s="4">
        <f>IF(OR(C182="",X182=""),"",C182+X182)</f>
        <v/>
      </c>
      <c r="Z182" s="5">
        <f>IF(C182="","",IF(Q182="Concluído","Concluído",IF(Y182&lt;TODAY(),"Vencido",IF(Y182-TODAY()&lt;=2,"A vencer","No prazo"))))</f>
        <v/>
      </c>
      <c r="AA182" s="3">
        <f>IF(OR(Y182="",Q182="Concluído"),"",Y182-TODAY())</f>
        <v/>
      </c>
      <c r="AB182" s="5" t="n"/>
      <c r="AC182" s="5" t="n"/>
      <c r="AD182" s="4" t="n"/>
    </row>
    <row r="183">
      <c r="A183" s="3">
        <f>IF(C183="","",ROW()-1)</f>
        <v/>
      </c>
      <c r="B183" s="4" t="n"/>
      <c r="C183" s="4" t="n"/>
      <c r="D183" s="5" t="n"/>
      <c r="E183" s="5" t="n"/>
      <c r="F183" s="5" t="n"/>
      <c r="G183" s="5" t="n"/>
      <c r="H183" s="5" t="n"/>
      <c r="I183" s="5" t="n"/>
      <c r="J183" s="5" t="n"/>
      <c r="K183" s="6" t="n"/>
      <c r="L183" s="6" t="n"/>
      <c r="M183" s="6" t="n"/>
      <c r="N183" s="5" t="n"/>
      <c r="O183" s="21" t="n"/>
      <c r="P183" s="5" t="n"/>
      <c r="Q183" s="5" t="n"/>
      <c r="R183" s="6" t="n"/>
      <c r="S183" s="4" t="n"/>
      <c r="T183" s="4" t="n"/>
      <c r="U183" s="3">
        <f>IF(C183="","",IF(T183="",TODAY()-C183,T183-C183))</f>
        <v/>
      </c>
      <c r="V183" s="5" t="n"/>
      <c r="W183" s="6" t="n"/>
      <c r="X183" s="3">
        <f>IF(P183="","",IFERROR(VLOOKUP(P183,Parâmetros!$J$2:$K$5,2,FALSE),""))</f>
        <v/>
      </c>
      <c r="Y183" s="4">
        <f>IF(OR(C183="",X183=""),"",C183+X183)</f>
        <v/>
      </c>
      <c r="Z183" s="5">
        <f>IF(C183="","",IF(Q183="Concluído","Concluído",IF(Y183&lt;TODAY(),"Vencido",IF(Y183-TODAY()&lt;=2,"A vencer","No prazo"))))</f>
        <v/>
      </c>
      <c r="AA183" s="3">
        <f>IF(OR(Y183="",Q183="Concluído"),"",Y183-TODAY())</f>
        <v/>
      </c>
      <c r="AB183" s="5" t="n"/>
      <c r="AC183" s="5" t="n"/>
      <c r="AD183" s="4" t="n"/>
    </row>
    <row r="184">
      <c r="A184" s="3">
        <f>IF(C184="","",ROW()-1)</f>
        <v/>
      </c>
      <c r="B184" s="4" t="n"/>
      <c r="C184" s="4" t="n"/>
      <c r="D184" s="5" t="n"/>
      <c r="E184" s="5" t="n"/>
      <c r="F184" s="5" t="n"/>
      <c r="G184" s="5" t="n"/>
      <c r="H184" s="5" t="n"/>
      <c r="I184" s="5" t="n"/>
      <c r="J184" s="5" t="n"/>
      <c r="K184" s="6" t="n"/>
      <c r="L184" s="6" t="n"/>
      <c r="M184" s="6" t="n"/>
      <c r="N184" s="5" t="n"/>
      <c r="O184" s="21" t="n"/>
      <c r="P184" s="5" t="n"/>
      <c r="Q184" s="5" t="n"/>
      <c r="R184" s="6" t="n"/>
      <c r="S184" s="4" t="n"/>
      <c r="T184" s="4" t="n"/>
      <c r="U184" s="3">
        <f>IF(C184="","",IF(T184="",TODAY()-C184,T184-C184))</f>
        <v/>
      </c>
      <c r="V184" s="5" t="n"/>
      <c r="W184" s="6" t="n"/>
      <c r="X184" s="3">
        <f>IF(P184="","",IFERROR(VLOOKUP(P184,Parâmetros!$J$2:$K$5,2,FALSE),""))</f>
        <v/>
      </c>
      <c r="Y184" s="4">
        <f>IF(OR(C184="",X184=""),"",C184+X184)</f>
        <v/>
      </c>
      <c r="Z184" s="5">
        <f>IF(C184="","",IF(Q184="Concluído","Concluído",IF(Y184&lt;TODAY(),"Vencido",IF(Y184-TODAY()&lt;=2,"A vencer","No prazo"))))</f>
        <v/>
      </c>
      <c r="AA184" s="3">
        <f>IF(OR(Y184="",Q184="Concluído"),"",Y184-TODAY())</f>
        <v/>
      </c>
      <c r="AB184" s="5" t="n"/>
      <c r="AC184" s="5" t="n"/>
      <c r="AD184" s="4" t="n"/>
    </row>
    <row r="185">
      <c r="A185" s="3">
        <f>IF(C185="","",ROW()-1)</f>
        <v/>
      </c>
      <c r="B185" s="4" t="n"/>
      <c r="C185" s="4" t="n"/>
      <c r="D185" s="5" t="n"/>
      <c r="E185" s="5" t="n"/>
      <c r="F185" s="5" t="n"/>
      <c r="G185" s="5" t="n"/>
      <c r="H185" s="5" t="n"/>
      <c r="I185" s="5" t="n"/>
      <c r="J185" s="5" t="n"/>
      <c r="K185" s="6" t="n"/>
      <c r="L185" s="6" t="n"/>
      <c r="M185" s="6" t="n"/>
      <c r="N185" s="5" t="n"/>
      <c r="O185" s="21" t="n"/>
      <c r="P185" s="5" t="n"/>
      <c r="Q185" s="5" t="n"/>
      <c r="R185" s="6" t="n"/>
      <c r="S185" s="4" t="n"/>
      <c r="T185" s="4" t="n"/>
      <c r="U185" s="3">
        <f>IF(C185="","",IF(T185="",TODAY()-C185,T185-C185))</f>
        <v/>
      </c>
      <c r="V185" s="5" t="n"/>
      <c r="W185" s="6" t="n"/>
      <c r="X185" s="3">
        <f>IF(P185="","",IFERROR(VLOOKUP(P185,Parâmetros!$J$2:$K$5,2,FALSE),""))</f>
        <v/>
      </c>
      <c r="Y185" s="4">
        <f>IF(OR(C185="",X185=""),"",C185+X185)</f>
        <v/>
      </c>
      <c r="Z185" s="5">
        <f>IF(C185="","",IF(Q185="Concluído","Concluído",IF(Y185&lt;TODAY(),"Vencido",IF(Y185-TODAY()&lt;=2,"A vencer","No prazo"))))</f>
        <v/>
      </c>
      <c r="AA185" s="3">
        <f>IF(OR(Y185="",Q185="Concluído"),"",Y185-TODAY())</f>
        <v/>
      </c>
      <c r="AB185" s="5" t="n"/>
      <c r="AC185" s="5" t="n"/>
      <c r="AD185" s="4" t="n"/>
    </row>
    <row r="186">
      <c r="A186" s="3">
        <f>IF(C186="","",ROW()-1)</f>
        <v/>
      </c>
      <c r="B186" s="4" t="n"/>
      <c r="C186" s="4" t="n"/>
      <c r="D186" s="5" t="n"/>
      <c r="E186" s="5" t="n"/>
      <c r="F186" s="5" t="n"/>
      <c r="G186" s="5" t="n"/>
      <c r="H186" s="5" t="n"/>
      <c r="I186" s="5" t="n"/>
      <c r="J186" s="5" t="n"/>
      <c r="K186" s="6" t="n"/>
      <c r="L186" s="6" t="n"/>
      <c r="M186" s="6" t="n"/>
      <c r="N186" s="5" t="n"/>
      <c r="O186" s="21" t="n"/>
      <c r="P186" s="5" t="n"/>
      <c r="Q186" s="5" t="n"/>
      <c r="R186" s="6" t="n"/>
      <c r="S186" s="4" t="n"/>
      <c r="T186" s="4" t="n"/>
      <c r="U186" s="3">
        <f>IF(C186="","",IF(T186="",TODAY()-C186,T186-C186))</f>
        <v/>
      </c>
      <c r="V186" s="5" t="n"/>
      <c r="W186" s="6" t="n"/>
      <c r="X186" s="3">
        <f>IF(P186="","",IFERROR(VLOOKUP(P186,Parâmetros!$J$2:$K$5,2,FALSE),""))</f>
        <v/>
      </c>
      <c r="Y186" s="4">
        <f>IF(OR(C186="",X186=""),"",C186+X186)</f>
        <v/>
      </c>
      <c r="Z186" s="5">
        <f>IF(C186="","",IF(Q186="Concluído","Concluído",IF(Y186&lt;TODAY(),"Vencido",IF(Y186-TODAY()&lt;=2,"A vencer","No prazo"))))</f>
        <v/>
      </c>
      <c r="AA186" s="3">
        <f>IF(OR(Y186="",Q186="Concluído"),"",Y186-TODAY())</f>
        <v/>
      </c>
      <c r="AB186" s="5" t="n"/>
      <c r="AC186" s="5" t="n"/>
      <c r="AD186" s="4" t="n"/>
    </row>
    <row r="187">
      <c r="A187" s="3">
        <f>IF(C187="","",ROW()-1)</f>
        <v/>
      </c>
      <c r="B187" s="4" t="n"/>
      <c r="C187" s="4" t="n"/>
      <c r="D187" s="5" t="n"/>
      <c r="E187" s="5" t="n"/>
      <c r="F187" s="5" t="n"/>
      <c r="G187" s="5" t="n"/>
      <c r="H187" s="5" t="n"/>
      <c r="I187" s="5" t="n"/>
      <c r="J187" s="5" t="n"/>
      <c r="K187" s="6" t="n"/>
      <c r="L187" s="6" t="n"/>
      <c r="M187" s="6" t="n"/>
      <c r="N187" s="5" t="n"/>
      <c r="O187" s="21" t="n"/>
      <c r="P187" s="5" t="n"/>
      <c r="Q187" s="5" t="n"/>
      <c r="R187" s="6" t="n"/>
      <c r="S187" s="4" t="n"/>
      <c r="T187" s="4" t="n"/>
      <c r="U187" s="3">
        <f>IF(C187="","",IF(T187="",TODAY()-C187,T187-C187))</f>
        <v/>
      </c>
      <c r="V187" s="5" t="n"/>
      <c r="W187" s="6" t="n"/>
      <c r="X187" s="3">
        <f>IF(P187="","",IFERROR(VLOOKUP(P187,Parâmetros!$J$2:$K$5,2,FALSE),""))</f>
        <v/>
      </c>
      <c r="Y187" s="4">
        <f>IF(OR(C187="",X187=""),"",C187+X187)</f>
        <v/>
      </c>
      <c r="Z187" s="5">
        <f>IF(C187="","",IF(Q187="Concluído","Concluído",IF(Y187&lt;TODAY(),"Vencido",IF(Y187-TODAY()&lt;=2,"A vencer","No prazo"))))</f>
        <v/>
      </c>
      <c r="AA187" s="3">
        <f>IF(OR(Y187="",Q187="Concluído"),"",Y187-TODAY())</f>
        <v/>
      </c>
      <c r="AB187" s="5" t="n"/>
      <c r="AC187" s="5" t="n"/>
      <c r="AD187" s="4" t="n"/>
    </row>
    <row r="188">
      <c r="A188" s="3">
        <f>IF(C188="","",ROW()-1)</f>
        <v/>
      </c>
      <c r="B188" s="4" t="n"/>
      <c r="C188" s="4" t="n"/>
      <c r="D188" s="5" t="n"/>
      <c r="E188" s="5" t="n"/>
      <c r="F188" s="5" t="n"/>
      <c r="G188" s="5" t="n"/>
      <c r="H188" s="5" t="n"/>
      <c r="I188" s="5" t="n"/>
      <c r="J188" s="5" t="n"/>
      <c r="K188" s="6" t="n"/>
      <c r="L188" s="6" t="n"/>
      <c r="M188" s="6" t="n"/>
      <c r="N188" s="5" t="n"/>
      <c r="O188" s="21" t="n"/>
      <c r="P188" s="5" t="n"/>
      <c r="Q188" s="5" t="n"/>
      <c r="R188" s="6" t="n"/>
      <c r="S188" s="4" t="n"/>
      <c r="T188" s="4" t="n"/>
      <c r="U188" s="3">
        <f>IF(C188="","",IF(T188="",TODAY()-C188,T188-C188))</f>
        <v/>
      </c>
      <c r="V188" s="5" t="n"/>
      <c r="W188" s="6" t="n"/>
      <c r="X188" s="3">
        <f>IF(P188="","",IFERROR(VLOOKUP(P188,Parâmetros!$J$2:$K$5,2,FALSE),""))</f>
        <v/>
      </c>
      <c r="Y188" s="4">
        <f>IF(OR(C188="",X188=""),"",C188+X188)</f>
        <v/>
      </c>
      <c r="Z188" s="5">
        <f>IF(C188="","",IF(Q188="Concluído","Concluído",IF(Y188&lt;TODAY(),"Vencido",IF(Y188-TODAY()&lt;=2,"A vencer","No prazo"))))</f>
        <v/>
      </c>
      <c r="AA188" s="3">
        <f>IF(OR(Y188="",Q188="Concluído"),"",Y188-TODAY())</f>
        <v/>
      </c>
      <c r="AB188" s="5" t="n"/>
      <c r="AC188" s="5" t="n"/>
      <c r="AD188" s="4" t="n"/>
    </row>
    <row r="189">
      <c r="A189" s="3">
        <f>IF(C189="","",ROW()-1)</f>
        <v/>
      </c>
      <c r="B189" s="4" t="n"/>
      <c r="C189" s="4" t="n"/>
      <c r="D189" s="5" t="n"/>
      <c r="E189" s="5" t="n"/>
      <c r="F189" s="5" t="n"/>
      <c r="G189" s="5" t="n"/>
      <c r="H189" s="5" t="n"/>
      <c r="I189" s="5" t="n"/>
      <c r="J189" s="5" t="n"/>
      <c r="K189" s="6" t="n"/>
      <c r="L189" s="6" t="n"/>
      <c r="M189" s="6" t="n"/>
      <c r="N189" s="5" t="n"/>
      <c r="O189" s="21" t="n"/>
      <c r="P189" s="5" t="n"/>
      <c r="Q189" s="5" t="n"/>
      <c r="R189" s="6" t="n"/>
      <c r="S189" s="4" t="n"/>
      <c r="T189" s="4" t="n"/>
      <c r="U189" s="3">
        <f>IF(C189="","",IF(T189="",TODAY()-C189,T189-C189))</f>
        <v/>
      </c>
      <c r="V189" s="5" t="n"/>
      <c r="W189" s="6" t="n"/>
      <c r="X189" s="3">
        <f>IF(P189="","",IFERROR(VLOOKUP(P189,Parâmetros!$J$2:$K$5,2,FALSE),""))</f>
        <v/>
      </c>
      <c r="Y189" s="4">
        <f>IF(OR(C189="",X189=""),"",C189+X189)</f>
        <v/>
      </c>
      <c r="Z189" s="5">
        <f>IF(C189="","",IF(Q189="Concluído","Concluído",IF(Y189&lt;TODAY(),"Vencido",IF(Y189-TODAY()&lt;=2,"A vencer","No prazo"))))</f>
        <v/>
      </c>
      <c r="AA189" s="3">
        <f>IF(OR(Y189="",Q189="Concluído"),"",Y189-TODAY())</f>
        <v/>
      </c>
      <c r="AB189" s="5" t="n"/>
      <c r="AC189" s="5" t="n"/>
      <c r="AD189" s="4" t="n"/>
    </row>
    <row r="190">
      <c r="A190" s="3">
        <f>IF(C190="","",ROW()-1)</f>
        <v/>
      </c>
      <c r="B190" s="4" t="n"/>
      <c r="C190" s="4" t="n"/>
      <c r="D190" s="5" t="n"/>
      <c r="E190" s="5" t="n"/>
      <c r="F190" s="5" t="n"/>
      <c r="G190" s="5" t="n"/>
      <c r="H190" s="5" t="n"/>
      <c r="I190" s="5" t="n"/>
      <c r="J190" s="5" t="n"/>
      <c r="K190" s="6" t="n"/>
      <c r="L190" s="6" t="n"/>
      <c r="M190" s="6" t="n"/>
      <c r="N190" s="5" t="n"/>
      <c r="O190" s="21" t="n"/>
      <c r="P190" s="5" t="n"/>
      <c r="Q190" s="5" t="n"/>
      <c r="R190" s="6" t="n"/>
      <c r="S190" s="4" t="n"/>
      <c r="T190" s="4" t="n"/>
      <c r="U190" s="3">
        <f>IF(C190="","",IF(T190="",TODAY()-C190,T190-C190))</f>
        <v/>
      </c>
      <c r="V190" s="5" t="n"/>
      <c r="W190" s="6" t="n"/>
      <c r="X190" s="3">
        <f>IF(P190="","",IFERROR(VLOOKUP(P190,Parâmetros!$J$2:$K$5,2,FALSE),""))</f>
        <v/>
      </c>
      <c r="Y190" s="4">
        <f>IF(OR(C190="",X190=""),"",C190+X190)</f>
        <v/>
      </c>
      <c r="Z190" s="5">
        <f>IF(C190="","",IF(Q190="Concluído","Concluído",IF(Y190&lt;TODAY(),"Vencido",IF(Y190-TODAY()&lt;=2,"A vencer","No prazo"))))</f>
        <v/>
      </c>
      <c r="AA190" s="3">
        <f>IF(OR(Y190="",Q190="Concluído"),"",Y190-TODAY())</f>
        <v/>
      </c>
      <c r="AB190" s="5" t="n"/>
      <c r="AC190" s="5" t="n"/>
      <c r="AD190" s="4" t="n"/>
    </row>
    <row r="191">
      <c r="A191" s="3">
        <f>IF(C191="","",ROW()-1)</f>
        <v/>
      </c>
      <c r="B191" s="4" t="n"/>
      <c r="C191" s="4" t="n"/>
      <c r="D191" s="5" t="n"/>
      <c r="E191" s="5" t="n"/>
      <c r="F191" s="5" t="n"/>
      <c r="G191" s="5" t="n"/>
      <c r="H191" s="5" t="n"/>
      <c r="I191" s="5" t="n"/>
      <c r="J191" s="5" t="n"/>
      <c r="K191" s="6" t="n"/>
      <c r="L191" s="6" t="n"/>
      <c r="M191" s="6" t="n"/>
      <c r="N191" s="5" t="n"/>
      <c r="O191" s="21" t="n"/>
      <c r="P191" s="5" t="n"/>
      <c r="Q191" s="5" t="n"/>
      <c r="R191" s="6" t="n"/>
      <c r="S191" s="4" t="n"/>
      <c r="T191" s="4" t="n"/>
      <c r="U191" s="3">
        <f>IF(C191="","",IF(T191="",TODAY()-C191,T191-C191))</f>
        <v/>
      </c>
      <c r="V191" s="5" t="n"/>
      <c r="W191" s="6" t="n"/>
      <c r="X191" s="3">
        <f>IF(P191="","",IFERROR(VLOOKUP(P191,Parâmetros!$J$2:$K$5,2,FALSE),""))</f>
        <v/>
      </c>
      <c r="Y191" s="4">
        <f>IF(OR(C191="",X191=""),"",C191+X191)</f>
        <v/>
      </c>
      <c r="Z191" s="5">
        <f>IF(C191="","",IF(Q191="Concluído","Concluído",IF(Y191&lt;TODAY(),"Vencido",IF(Y191-TODAY()&lt;=2,"A vencer","No prazo"))))</f>
        <v/>
      </c>
      <c r="AA191" s="3">
        <f>IF(OR(Y191="",Q191="Concluído"),"",Y191-TODAY())</f>
        <v/>
      </c>
      <c r="AB191" s="5" t="n"/>
      <c r="AC191" s="5" t="n"/>
      <c r="AD191" s="4" t="n"/>
    </row>
    <row r="192">
      <c r="A192" s="3">
        <f>IF(C192="","",ROW()-1)</f>
        <v/>
      </c>
      <c r="B192" s="4" t="n"/>
      <c r="C192" s="4" t="n"/>
      <c r="D192" s="5" t="n"/>
      <c r="E192" s="5" t="n"/>
      <c r="F192" s="5" t="n"/>
      <c r="G192" s="5" t="n"/>
      <c r="H192" s="5" t="n"/>
      <c r="I192" s="5" t="n"/>
      <c r="J192" s="5" t="n"/>
      <c r="K192" s="6" t="n"/>
      <c r="L192" s="6" t="n"/>
      <c r="M192" s="6" t="n"/>
      <c r="N192" s="5" t="n"/>
      <c r="O192" s="21" t="n"/>
      <c r="P192" s="5" t="n"/>
      <c r="Q192" s="5" t="n"/>
      <c r="R192" s="6" t="n"/>
      <c r="S192" s="4" t="n"/>
      <c r="T192" s="4" t="n"/>
      <c r="U192" s="3">
        <f>IF(C192="","",IF(T192="",TODAY()-C192,T192-C192))</f>
        <v/>
      </c>
      <c r="V192" s="5" t="n"/>
      <c r="W192" s="6" t="n"/>
      <c r="X192" s="3">
        <f>IF(P192="","",IFERROR(VLOOKUP(P192,Parâmetros!$J$2:$K$5,2,FALSE),""))</f>
        <v/>
      </c>
      <c r="Y192" s="4">
        <f>IF(OR(C192="",X192=""),"",C192+X192)</f>
        <v/>
      </c>
      <c r="Z192" s="5">
        <f>IF(C192="","",IF(Q192="Concluído","Concluído",IF(Y192&lt;TODAY(),"Vencido",IF(Y192-TODAY()&lt;=2,"A vencer","No prazo"))))</f>
        <v/>
      </c>
      <c r="AA192" s="3">
        <f>IF(OR(Y192="",Q192="Concluído"),"",Y192-TODAY())</f>
        <v/>
      </c>
      <c r="AB192" s="5" t="n"/>
      <c r="AC192" s="5" t="n"/>
      <c r="AD192" s="4" t="n"/>
    </row>
    <row r="193">
      <c r="A193" s="3">
        <f>IF(C193="","",ROW()-1)</f>
        <v/>
      </c>
      <c r="B193" s="4" t="n"/>
      <c r="C193" s="4" t="n"/>
      <c r="D193" s="5" t="n"/>
      <c r="E193" s="5" t="n"/>
      <c r="F193" s="5" t="n"/>
      <c r="G193" s="5" t="n"/>
      <c r="H193" s="5" t="n"/>
      <c r="I193" s="5" t="n"/>
      <c r="J193" s="5" t="n"/>
      <c r="K193" s="6" t="n"/>
      <c r="L193" s="6" t="n"/>
      <c r="M193" s="6" t="n"/>
      <c r="N193" s="5" t="n"/>
      <c r="O193" s="21" t="n"/>
      <c r="P193" s="5" t="n"/>
      <c r="Q193" s="5" t="n"/>
      <c r="R193" s="6" t="n"/>
      <c r="S193" s="4" t="n"/>
      <c r="T193" s="4" t="n"/>
      <c r="U193" s="3">
        <f>IF(C193="","",IF(T193="",TODAY()-C193,T193-C193))</f>
        <v/>
      </c>
      <c r="V193" s="5" t="n"/>
      <c r="W193" s="6" t="n"/>
      <c r="X193" s="3">
        <f>IF(P193="","",IFERROR(VLOOKUP(P193,Parâmetros!$J$2:$K$5,2,FALSE),""))</f>
        <v/>
      </c>
      <c r="Y193" s="4">
        <f>IF(OR(C193="",X193=""),"",C193+X193)</f>
        <v/>
      </c>
      <c r="Z193" s="5">
        <f>IF(C193="","",IF(Q193="Concluído","Concluído",IF(Y193&lt;TODAY(),"Vencido",IF(Y193-TODAY()&lt;=2,"A vencer","No prazo"))))</f>
        <v/>
      </c>
      <c r="AA193" s="3">
        <f>IF(OR(Y193="",Q193="Concluído"),"",Y193-TODAY())</f>
        <v/>
      </c>
      <c r="AB193" s="5" t="n"/>
      <c r="AC193" s="5" t="n"/>
      <c r="AD193" s="4" t="n"/>
    </row>
    <row r="194">
      <c r="A194" s="3">
        <f>IF(C194="","",ROW()-1)</f>
        <v/>
      </c>
      <c r="B194" s="4" t="n"/>
      <c r="C194" s="4" t="n"/>
      <c r="D194" s="5" t="n"/>
      <c r="E194" s="5" t="n"/>
      <c r="F194" s="5" t="n"/>
      <c r="G194" s="5" t="n"/>
      <c r="H194" s="5" t="n"/>
      <c r="I194" s="5" t="n"/>
      <c r="J194" s="5" t="n"/>
      <c r="K194" s="6" t="n"/>
      <c r="L194" s="6" t="n"/>
      <c r="M194" s="6" t="n"/>
      <c r="N194" s="5" t="n"/>
      <c r="O194" s="21" t="n"/>
      <c r="P194" s="5" t="n"/>
      <c r="Q194" s="5" t="n"/>
      <c r="R194" s="6" t="n"/>
      <c r="S194" s="4" t="n"/>
      <c r="T194" s="4" t="n"/>
      <c r="U194" s="3">
        <f>IF(C194="","",IF(T194="",TODAY()-C194,T194-C194))</f>
        <v/>
      </c>
      <c r="V194" s="5" t="n"/>
      <c r="W194" s="6" t="n"/>
      <c r="X194" s="3">
        <f>IF(P194="","",IFERROR(VLOOKUP(P194,Parâmetros!$J$2:$K$5,2,FALSE),""))</f>
        <v/>
      </c>
      <c r="Y194" s="4">
        <f>IF(OR(C194="",X194=""),"",C194+X194)</f>
        <v/>
      </c>
      <c r="Z194" s="5">
        <f>IF(C194="","",IF(Q194="Concluído","Concluído",IF(Y194&lt;TODAY(),"Vencido",IF(Y194-TODAY()&lt;=2,"A vencer","No prazo"))))</f>
        <v/>
      </c>
      <c r="AA194" s="3">
        <f>IF(OR(Y194="",Q194="Concluído"),"",Y194-TODAY())</f>
        <v/>
      </c>
      <c r="AB194" s="5" t="n"/>
      <c r="AC194" s="5" t="n"/>
      <c r="AD194" s="4" t="n"/>
    </row>
    <row r="195">
      <c r="A195" s="3">
        <f>IF(C195="","",ROW()-1)</f>
        <v/>
      </c>
      <c r="B195" s="4" t="n"/>
      <c r="C195" s="4" t="n"/>
      <c r="D195" s="5" t="n"/>
      <c r="E195" s="5" t="n"/>
      <c r="F195" s="5" t="n"/>
      <c r="G195" s="5" t="n"/>
      <c r="H195" s="5" t="n"/>
      <c r="I195" s="5" t="n"/>
      <c r="J195" s="5" t="n"/>
      <c r="K195" s="6" t="n"/>
      <c r="L195" s="6" t="n"/>
      <c r="M195" s="6" t="n"/>
      <c r="N195" s="5" t="n"/>
      <c r="O195" s="21" t="n"/>
      <c r="P195" s="5" t="n"/>
      <c r="Q195" s="5" t="n"/>
      <c r="R195" s="6" t="n"/>
      <c r="S195" s="4" t="n"/>
      <c r="T195" s="4" t="n"/>
      <c r="U195" s="3">
        <f>IF(C195="","",IF(T195="",TODAY()-C195,T195-C195))</f>
        <v/>
      </c>
      <c r="V195" s="5" t="n"/>
      <c r="W195" s="6" t="n"/>
      <c r="X195" s="3">
        <f>IF(P195="","",IFERROR(VLOOKUP(P195,Parâmetros!$J$2:$K$5,2,FALSE),""))</f>
        <v/>
      </c>
      <c r="Y195" s="4">
        <f>IF(OR(C195="",X195=""),"",C195+X195)</f>
        <v/>
      </c>
      <c r="Z195" s="5">
        <f>IF(C195="","",IF(Q195="Concluído","Concluído",IF(Y195&lt;TODAY(),"Vencido",IF(Y195-TODAY()&lt;=2,"A vencer","No prazo"))))</f>
        <v/>
      </c>
      <c r="AA195" s="3">
        <f>IF(OR(Y195="",Q195="Concluído"),"",Y195-TODAY())</f>
        <v/>
      </c>
      <c r="AB195" s="5" t="n"/>
      <c r="AC195" s="5" t="n"/>
      <c r="AD195" s="4" t="n"/>
    </row>
    <row r="196">
      <c r="A196" s="3">
        <f>IF(C196="","",ROW()-1)</f>
        <v/>
      </c>
      <c r="B196" s="4" t="n"/>
      <c r="C196" s="4" t="n"/>
      <c r="D196" s="5" t="n"/>
      <c r="E196" s="5" t="n"/>
      <c r="F196" s="5" t="n"/>
      <c r="G196" s="5" t="n"/>
      <c r="H196" s="5" t="n"/>
      <c r="I196" s="5" t="n"/>
      <c r="J196" s="5" t="n"/>
      <c r="K196" s="6" t="n"/>
      <c r="L196" s="6" t="n"/>
      <c r="M196" s="6" t="n"/>
      <c r="N196" s="5" t="n"/>
      <c r="O196" s="21" t="n"/>
      <c r="P196" s="5" t="n"/>
      <c r="Q196" s="5" t="n"/>
      <c r="R196" s="6" t="n"/>
      <c r="S196" s="4" t="n"/>
      <c r="T196" s="4" t="n"/>
      <c r="U196" s="3">
        <f>IF(C196="","",IF(T196="",TODAY()-C196,T196-C196))</f>
        <v/>
      </c>
      <c r="V196" s="5" t="n"/>
      <c r="W196" s="6" t="n"/>
      <c r="X196" s="3">
        <f>IF(P196="","",IFERROR(VLOOKUP(P196,Parâmetros!$J$2:$K$5,2,FALSE),""))</f>
        <v/>
      </c>
      <c r="Y196" s="4">
        <f>IF(OR(C196="",X196=""),"",C196+X196)</f>
        <v/>
      </c>
      <c r="Z196" s="5">
        <f>IF(C196="","",IF(Q196="Concluído","Concluído",IF(Y196&lt;TODAY(),"Vencido",IF(Y196-TODAY()&lt;=2,"A vencer","No prazo"))))</f>
        <v/>
      </c>
      <c r="AA196" s="3">
        <f>IF(OR(Y196="",Q196="Concluído"),"",Y196-TODAY())</f>
        <v/>
      </c>
      <c r="AB196" s="5" t="n"/>
      <c r="AC196" s="5" t="n"/>
      <c r="AD196" s="4" t="n"/>
    </row>
    <row r="197">
      <c r="A197" s="3">
        <f>IF(C197="","",ROW()-1)</f>
        <v/>
      </c>
      <c r="B197" s="4" t="n"/>
      <c r="C197" s="4" t="n"/>
      <c r="D197" s="5" t="n"/>
      <c r="E197" s="5" t="n"/>
      <c r="F197" s="5" t="n"/>
      <c r="G197" s="5" t="n"/>
      <c r="H197" s="5" t="n"/>
      <c r="I197" s="5" t="n"/>
      <c r="J197" s="5" t="n"/>
      <c r="K197" s="6" t="n"/>
      <c r="L197" s="6" t="n"/>
      <c r="M197" s="6" t="n"/>
      <c r="N197" s="5" t="n"/>
      <c r="O197" s="21" t="n"/>
      <c r="P197" s="5" t="n"/>
      <c r="Q197" s="5" t="n"/>
      <c r="R197" s="6" t="n"/>
      <c r="S197" s="4" t="n"/>
      <c r="T197" s="4" t="n"/>
      <c r="U197" s="3">
        <f>IF(C197="","",IF(T197="",TODAY()-C197,T197-C197))</f>
        <v/>
      </c>
      <c r="V197" s="5" t="n"/>
      <c r="W197" s="6" t="n"/>
      <c r="X197" s="3">
        <f>IF(P197="","",IFERROR(VLOOKUP(P197,Parâmetros!$J$2:$K$5,2,FALSE),""))</f>
        <v/>
      </c>
      <c r="Y197" s="4">
        <f>IF(OR(C197="",X197=""),"",C197+X197)</f>
        <v/>
      </c>
      <c r="Z197" s="5">
        <f>IF(C197="","",IF(Q197="Concluído","Concluído",IF(Y197&lt;TODAY(),"Vencido",IF(Y197-TODAY()&lt;=2,"A vencer","No prazo"))))</f>
        <v/>
      </c>
      <c r="AA197" s="3">
        <f>IF(OR(Y197="",Q197="Concluído"),"",Y197-TODAY())</f>
        <v/>
      </c>
      <c r="AB197" s="5" t="n"/>
      <c r="AC197" s="5" t="n"/>
      <c r="AD197" s="4" t="n"/>
    </row>
    <row r="198">
      <c r="A198" s="3">
        <f>IF(C198="","",ROW()-1)</f>
        <v/>
      </c>
      <c r="B198" s="4" t="n"/>
      <c r="C198" s="4" t="n"/>
      <c r="D198" s="5" t="n"/>
      <c r="E198" s="5" t="n"/>
      <c r="F198" s="5" t="n"/>
      <c r="G198" s="5" t="n"/>
      <c r="H198" s="5" t="n"/>
      <c r="I198" s="5" t="n"/>
      <c r="J198" s="5" t="n"/>
      <c r="K198" s="6" t="n"/>
      <c r="L198" s="6" t="n"/>
      <c r="M198" s="6" t="n"/>
      <c r="N198" s="5" t="n"/>
      <c r="O198" s="21" t="n"/>
      <c r="P198" s="5" t="n"/>
      <c r="Q198" s="5" t="n"/>
      <c r="R198" s="6" t="n"/>
      <c r="S198" s="4" t="n"/>
      <c r="T198" s="4" t="n"/>
      <c r="U198" s="3">
        <f>IF(C198="","",IF(T198="",TODAY()-C198,T198-C198))</f>
        <v/>
      </c>
      <c r="V198" s="5" t="n"/>
      <c r="W198" s="6" t="n"/>
      <c r="X198" s="3">
        <f>IF(P198="","",IFERROR(VLOOKUP(P198,Parâmetros!$J$2:$K$5,2,FALSE),""))</f>
        <v/>
      </c>
      <c r="Y198" s="4">
        <f>IF(OR(C198="",X198=""),"",C198+X198)</f>
        <v/>
      </c>
      <c r="Z198" s="5">
        <f>IF(C198="","",IF(Q198="Concluído","Concluído",IF(Y198&lt;TODAY(),"Vencido",IF(Y198-TODAY()&lt;=2,"A vencer","No prazo"))))</f>
        <v/>
      </c>
      <c r="AA198" s="3">
        <f>IF(OR(Y198="",Q198="Concluído"),"",Y198-TODAY())</f>
        <v/>
      </c>
      <c r="AB198" s="5" t="n"/>
      <c r="AC198" s="5" t="n"/>
      <c r="AD198" s="4" t="n"/>
    </row>
    <row r="199">
      <c r="A199" s="3">
        <f>IF(C199="","",ROW()-1)</f>
        <v/>
      </c>
      <c r="B199" s="4" t="n"/>
      <c r="C199" s="4" t="n"/>
      <c r="D199" s="5" t="n"/>
      <c r="E199" s="5" t="n"/>
      <c r="F199" s="5" t="n"/>
      <c r="G199" s="5" t="n"/>
      <c r="H199" s="5" t="n"/>
      <c r="I199" s="5" t="n"/>
      <c r="J199" s="5" t="n"/>
      <c r="K199" s="6" t="n"/>
      <c r="L199" s="6" t="n"/>
      <c r="M199" s="6" t="n"/>
      <c r="N199" s="5" t="n"/>
      <c r="O199" s="21" t="n"/>
      <c r="P199" s="5" t="n"/>
      <c r="Q199" s="5" t="n"/>
      <c r="R199" s="6" t="n"/>
      <c r="S199" s="4" t="n"/>
      <c r="T199" s="4" t="n"/>
      <c r="U199" s="3">
        <f>IF(C199="","",IF(T199="",TODAY()-C199,T199-C199))</f>
        <v/>
      </c>
      <c r="V199" s="5" t="n"/>
      <c r="W199" s="6" t="n"/>
      <c r="X199" s="3">
        <f>IF(P199="","",IFERROR(VLOOKUP(P199,Parâmetros!$J$2:$K$5,2,FALSE),""))</f>
        <v/>
      </c>
      <c r="Y199" s="4">
        <f>IF(OR(C199="",X199=""),"",C199+X199)</f>
        <v/>
      </c>
      <c r="Z199" s="5">
        <f>IF(C199="","",IF(Q199="Concluído","Concluído",IF(Y199&lt;TODAY(),"Vencido",IF(Y199-TODAY()&lt;=2,"A vencer","No prazo"))))</f>
        <v/>
      </c>
      <c r="AA199" s="3">
        <f>IF(OR(Y199="",Q199="Concluído"),"",Y199-TODAY())</f>
        <v/>
      </c>
      <c r="AB199" s="5" t="n"/>
      <c r="AC199" s="5" t="n"/>
      <c r="AD199" s="4" t="n"/>
    </row>
    <row r="200">
      <c r="A200" s="3">
        <f>IF(C200="","",ROW()-1)</f>
        <v/>
      </c>
      <c r="B200" s="4" t="n"/>
      <c r="C200" s="4" t="n"/>
      <c r="D200" s="5" t="n"/>
      <c r="E200" s="5" t="n"/>
      <c r="F200" s="5" t="n"/>
      <c r="G200" s="5" t="n"/>
      <c r="H200" s="5" t="n"/>
      <c r="I200" s="5" t="n"/>
      <c r="J200" s="5" t="n"/>
      <c r="K200" s="6" t="n"/>
      <c r="L200" s="6" t="n"/>
      <c r="M200" s="6" t="n"/>
      <c r="N200" s="5" t="n"/>
      <c r="O200" s="21" t="n"/>
      <c r="P200" s="5" t="n"/>
      <c r="Q200" s="5" t="n"/>
      <c r="R200" s="6" t="n"/>
      <c r="S200" s="4" t="n"/>
      <c r="T200" s="4" t="n"/>
      <c r="U200" s="3">
        <f>IF(C200="","",IF(T200="",TODAY()-C200,T200-C200))</f>
        <v/>
      </c>
      <c r="V200" s="5" t="n"/>
      <c r="W200" s="6" t="n"/>
      <c r="X200" s="3">
        <f>IF(P200="","",IFERROR(VLOOKUP(P200,Parâmetros!$J$2:$K$5,2,FALSE),""))</f>
        <v/>
      </c>
      <c r="Y200" s="4">
        <f>IF(OR(C200="",X200=""),"",C200+X200)</f>
        <v/>
      </c>
      <c r="Z200" s="5">
        <f>IF(C200="","",IF(Q200="Concluído","Concluído",IF(Y200&lt;TODAY(),"Vencido",IF(Y200-TODAY()&lt;=2,"A vencer","No prazo"))))</f>
        <v/>
      </c>
      <c r="AA200" s="3">
        <f>IF(OR(Y200="",Q200="Concluído"),"",Y200-TODAY())</f>
        <v/>
      </c>
      <c r="AB200" s="5" t="n"/>
      <c r="AC200" s="5" t="n"/>
      <c r="AD200" s="4" t="n"/>
    </row>
    <row r="201">
      <c r="A201" s="3">
        <f>IF(C201="","",ROW()-1)</f>
        <v/>
      </c>
      <c r="B201" s="4" t="n"/>
      <c r="C201" s="4" t="n"/>
      <c r="D201" s="5" t="n"/>
      <c r="E201" s="5" t="n"/>
      <c r="F201" s="5" t="n"/>
      <c r="G201" s="5" t="n"/>
      <c r="H201" s="5" t="n"/>
      <c r="I201" s="5" t="n"/>
      <c r="J201" s="5" t="n"/>
      <c r="K201" s="6" t="n"/>
      <c r="L201" s="6" t="n"/>
      <c r="M201" s="6" t="n"/>
      <c r="N201" s="5" t="n"/>
      <c r="O201" s="21" t="n"/>
      <c r="P201" s="5" t="n"/>
      <c r="Q201" s="5" t="n"/>
      <c r="R201" s="6" t="n"/>
      <c r="S201" s="4" t="n"/>
      <c r="T201" s="4" t="n"/>
      <c r="U201" s="3">
        <f>IF(C201="","",IF(T201="",TODAY()-C201,T201-C201))</f>
        <v/>
      </c>
      <c r="V201" s="5" t="n"/>
      <c r="W201" s="6" t="n"/>
      <c r="X201" s="3">
        <f>IF(P201="","",IFERROR(VLOOKUP(P201,Parâmetros!$J$2:$K$5,2,FALSE),""))</f>
        <v/>
      </c>
      <c r="Y201" s="4">
        <f>IF(OR(C201="",X201=""),"",C201+X201)</f>
        <v/>
      </c>
      <c r="Z201" s="5">
        <f>IF(C201="","",IF(Q201="Concluído","Concluído",IF(Y201&lt;TODAY(),"Vencido",IF(Y201-TODAY()&lt;=2,"A vencer","No prazo"))))</f>
        <v/>
      </c>
      <c r="AA201" s="3">
        <f>IF(OR(Y201="",Q201="Concluído"),"",Y201-TODAY())</f>
        <v/>
      </c>
      <c r="AB201" s="5" t="n"/>
      <c r="AC201" s="5" t="n"/>
      <c r="AD201" s="4" t="n"/>
    </row>
    <row r="202">
      <c r="A202" s="3">
        <f>IF(C202="","",ROW()-1)</f>
        <v/>
      </c>
      <c r="B202" s="4" t="n"/>
      <c r="C202" s="4" t="n"/>
      <c r="D202" s="5" t="n"/>
      <c r="E202" s="5" t="n"/>
      <c r="F202" s="5" t="n"/>
      <c r="G202" s="5" t="n"/>
      <c r="H202" s="5" t="n"/>
      <c r="I202" s="5" t="n"/>
      <c r="J202" s="5" t="n"/>
      <c r="K202" s="6" t="n"/>
      <c r="L202" s="6" t="n"/>
      <c r="M202" s="6" t="n"/>
      <c r="N202" s="5" t="n"/>
      <c r="O202" s="21" t="n"/>
      <c r="P202" s="5" t="n"/>
      <c r="Q202" s="5" t="n"/>
      <c r="R202" s="6" t="n"/>
      <c r="S202" s="4" t="n"/>
      <c r="T202" s="4" t="n"/>
      <c r="U202" s="3">
        <f>IF(C202="","",IF(T202="",TODAY()-C202,T202-C202))</f>
        <v/>
      </c>
      <c r="V202" s="5" t="n"/>
      <c r="W202" s="6" t="n"/>
      <c r="X202" s="3">
        <f>IF(P202="","",IFERROR(VLOOKUP(P202,Parâmetros!$J$2:$K$5,2,FALSE),""))</f>
        <v/>
      </c>
      <c r="Y202" s="4">
        <f>IF(OR(C202="",X202=""),"",C202+X202)</f>
        <v/>
      </c>
      <c r="Z202" s="5">
        <f>IF(C202="","",IF(Q202="Concluído","Concluído",IF(Y202&lt;TODAY(),"Vencido",IF(Y202-TODAY()&lt;=2,"A vencer","No prazo"))))</f>
        <v/>
      </c>
      <c r="AA202" s="3">
        <f>IF(OR(Y202="",Q202="Concluído"),"",Y202-TODAY())</f>
        <v/>
      </c>
      <c r="AB202" s="5" t="n"/>
      <c r="AC202" s="5" t="n"/>
      <c r="AD202" s="4" t="n"/>
    </row>
    <row r="203">
      <c r="A203" s="3">
        <f>IF(C203="","",ROW()-1)</f>
        <v/>
      </c>
      <c r="B203" s="4" t="n"/>
      <c r="C203" s="4" t="n"/>
      <c r="D203" s="5" t="n"/>
      <c r="E203" s="5" t="n"/>
      <c r="F203" s="5" t="n"/>
      <c r="G203" s="5" t="n"/>
      <c r="H203" s="5" t="n"/>
      <c r="I203" s="5" t="n"/>
      <c r="J203" s="5" t="n"/>
      <c r="K203" s="6" t="n"/>
      <c r="L203" s="6" t="n"/>
      <c r="M203" s="6" t="n"/>
      <c r="N203" s="5" t="n"/>
      <c r="O203" s="21" t="n"/>
      <c r="P203" s="5" t="n"/>
      <c r="Q203" s="5" t="n"/>
      <c r="R203" s="6" t="n"/>
      <c r="S203" s="4" t="n"/>
      <c r="T203" s="4" t="n"/>
      <c r="U203" s="3">
        <f>IF(C203="","",IF(T203="",TODAY()-C203,T203-C203))</f>
        <v/>
      </c>
      <c r="V203" s="5" t="n"/>
      <c r="W203" s="6" t="n"/>
      <c r="X203" s="3">
        <f>IF(P203="","",IFERROR(VLOOKUP(P203,Parâmetros!$J$2:$K$5,2,FALSE),""))</f>
        <v/>
      </c>
      <c r="Y203" s="4">
        <f>IF(OR(C203="",X203=""),"",C203+X203)</f>
        <v/>
      </c>
      <c r="Z203" s="5">
        <f>IF(C203="","",IF(Q203="Concluído","Concluído",IF(Y203&lt;TODAY(),"Vencido",IF(Y203-TODAY()&lt;=2,"A vencer","No prazo"))))</f>
        <v/>
      </c>
      <c r="AA203" s="3">
        <f>IF(OR(Y203="",Q203="Concluído"),"",Y203-TODAY())</f>
        <v/>
      </c>
      <c r="AB203" s="5" t="n"/>
      <c r="AC203" s="5" t="n"/>
      <c r="AD203" s="4" t="n"/>
    </row>
    <row r="204">
      <c r="A204" s="3">
        <f>IF(C204="","",ROW()-1)</f>
        <v/>
      </c>
      <c r="B204" s="4" t="n"/>
      <c r="C204" s="4" t="n"/>
      <c r="D204" s="5" t="n"/>
      <c r="E204" s="5" t="n"/>
      <c r="F204" s="5" t="n"/>
      <c r="G204" s="5" t="n"/>
      <c r="H204" s="5" t="n"/>
      <c r="I204" s="5" t="n"/>
      <c r="J204" s="5" t="n"/>
      <c r="K204" s="6" t="n"/>
      <c r="L204" s="6" t="n"/>
      <c r="M204" s="6" t="n"/>
      <c r="N204" s="5" t="n"/>
      <c r="O204" s="21" t="n"/>
      <c r="P204" s="5" t="n"/>
      <c r="Q204" s="5" t="n"/>
      <c r="R204" s="6" t="n"/>
      <c r="S204" s="4" t="n"/>
      <c r="T204" s="4" t="n"/>
      <c r="U204" s="3">
        <f>IF(C204="","",IF(T204="",TODAY()-C204,T204-C204))</f>
        <v/>
      </c>
      <c r="V204" s="5" t="n"/>
      <c r="W204" s="6" t="n"/>
      <c r="X204" s="3">
        <f>IF(P204="","",IFERROR(VLOOKUP(P204,Parâmetros!$J$2:$K$5,2,FALSE),""))</f>
        <v/>
      </c>
      <c r="Y204" s="4">
        <f>IF(OR(C204="",X204=""),"",C204+X204)</f>
        <v/>
      </c>
      <c r="Z204" s="5">
        <f>IF(C204="","",IF(Q204="Concluído","Concluído",IF(Y204&lt;TODAY(),"Vencido",IF(Y204-TODAY()&lt;=2,"A vencer","No prazo"))))</f>
        <v/>
      </c>
      <c r="AA204" s="3">
        <f>IF(OR(Y204="",Q204="Concluído"),"",Y204-TODAY())</f>
        <v/>
      </c>
      <c r="AB204" s="5" t="n"/>
      <c r="AC204" s="5" t="n"/>
      <c r="AD204" s="4" t="n"/>
    </row>
    <row r="205">
      <c r="A205" s="3">
        <f>IF(C205="","",ROW()-1)</f>
        <v/>
      </c>
      <c r="B205" s="4" t="n"/>
      <c r="C205" s="4" t="n"/>
      <c r="D205" s="5" t="n"/>
      <c r="E205" s="5" t="n"/>
      <c r="F205" s="5" t="n"/>
      <c r="G205" s="5" t="n"/>
      <c r="H205" s="5" t="n"/>
      <c r="I205" s="5" t="n"/>
      <c r="J205" s="5" t="n"/>
      <c r="K205" s="6" t="n"/>
      <c r="L205" s="6" t="n"/>
      <c r="M205" s="6" t="n"/>
      <c r="N205" s="5" t="n"/>
      <c r="O205" s="21" t="n"/>
      <c r="P205" s="5" t="n"/>
      <c r="Q205" s="5" t="n"/>
      <c r="R205" s="6" t="n"/>
      <c r="S205" s="4" t="n"/>
      <c r="T205" s="4" t="n"/>
      <c r="U205" s="3">
        <f>IF(C205="","",IF(T205="",TODAY()-C205,T205-C205))</f>
        <v/>
      </c>
      <c r="V205" s="5" t="n"/>
      <c r="W205" s="6" t="n"/>
      <c r="X205" s="3">
        <f>IF(P205="","",IFERROR(VLOOKUP(P205,Parâmetros!$J$2:$K$5,2,FALSE),""))</f>
        <v/>
      </c>
      <c r="Y205" s="4">
        <f>IF(OR(C205="",X205=""),"",C205+X205)</f>
        <v/>
      </c>
      <c r="Z205" s="5">
        <f>IF(C205="","",IF(Q205="Concluído","Concluído",IF(Y205&lt;TODAY(),"Vencido",IF(Y205-TODAY()&lt;=2,"A vencer","No prazo"))))</f>
        <v/>
      </c>
      <c r="AA205" s="3">
        <f>IF(OR(Y205="",Q205="Concluído"),"",Y205-TODAY())</f>
        <v/>
      </c>
      <c r="AB205" s="5" t="n"/>
      <c r="AC205" s="5" t="n"/>
      <c r="AD205" s="4" t="n"/>
    </row>
    <row r="206">
      <c r="A206" s="3">
        <f>IF(C206="","",ROW()-1)</f>
        <v/>
      </c>
      <c r="B206" s="4" t="n"/>
      <c r="C206" s="4" t="n"/>
      <c r="D206" s="5" t="n"/>
      <c r="E206" s="5" t="n"/>
      <c r="F206" s="5" t="n"/>
      <c r="G206" s="5" t="n"/>
      <c r="H206" s="5" t="n"/>
      <c r="I206" s="5" t="n"/>
      <c r="J206" s="5" t="n"/>
      <c r="K206" s="6" t="n"/>
      <c r="L206" s="6" t="n"/>
      <c r="M206" s="6" t="n"/>
      <c r="N206" s="5" t="n"/>
      <c r="O206" s="21" t="n"/>
      <c r="P206" s="5" t="n"/>
      <c r="Q206" s="5" t="n"/>
      <c r="R206" s="6" t="n"/>
      <c r="S206" s="4" t="n"/>
      <c r="T206" s="4" t="n"/>
      <c r="U206" s="3">
        <f>IF(C206="","",IF(T206="",TODAY()-C206,T206-C206))</f>
        <v/>
      </c>
      <c r="V206" s="5" t="n"/>
      <c r="W206" s="6" t="n"/>
      <c r="X206" s="3">
        <f>IF(P206="","",IFERROR(VLOOKUP(P206,Parâmetros!$J$2:$K$5,2,FALSE),""))</f>
        <v/>
      </c>
      <c r="Y206" s="4">
        <f>IF(OR(C206="",X206=""),"",C206+X206)</f>
        <v/>
      </c>
      <c r="Z206" s="5">
        <f>IF(C206="","",IF(Q206="Concluído","Concluído",IF(Y206&lt;TODAY(),"Vencido",IF(Y206-TODAY()&lt;=2,"A vencer","No prazo"))))</f>
        <v/>
      </c>
      <c r="AA206" s="3">
        <f>IF(OR(Y206="",Q206="Concluído"),"",Y206-TODAY())</f>
        <v/>
      </c>
      <c r="AB206" s="5" t="n"/>
      <c r="AC206" s="5" t="n"/>
      <c r="AD206" s="4" t="n"/>
    </row>
    <row r="207">
      <c r="A207" s="3">
        <f>IF(C207="","",ROW()-1)</f>
        <v/>
      </c>
      <c r="B207" s="4" t="n"/>
      <c r="C207" s="4" t="n"/>
      <c r="D207" s="5" t="n"/>
      <c r="E207" s="5" t="n"/>
      <c r="F207" s="5" t="n"/>
      <c r="G207" s="5" t="n"/>
      <c r="H207" s="5" t="n"/>
      <c r="I207" s="5" t="n"/>
      <c r="J207" s="5" t="n"/>
      <c r="K207" s="6" t="n"/>
      <c r="L207" s="6" t="n"/>
      <c r="M207" s="6" t="n"/>
      <c r="N207" s="5" t="n"/>
      <c r="O207" s="21" t="n"/>
      <c r="P207" s="5" t="n"/>
      <c r="Q207" s="5" t="n"/>
      <c r="R207" s="6" t="n"/>
      <c r="S207" s="4" t="n"/>
      <c r="T207" s="4" t="n"/>
      <c r="U207" s="3">
        <f>IF(C207="","",IF(T207="",TODAY()-C207,T207-C207))</f>
        <v/>
      </c>
      <c r="V207" s="5" t="n"/>
      <c r="W207" s="6" t="n"/>
      <c r="X207" s="3">
        <f>IF(P207="","",IFERROR(VLOOKUP(P207,Parâmetros!$J$2:$K$5,2,FALSE),""))</f>
        <v/>
      </c>
      <c r="Y207" s="4">
        <f>IF(OR(C207="",X207=""),"",C207+X207)</f>
        <v/>
      </c>
      <c r="Z207" s="5">
        <f>IF(C207="","",IF(Q207="Concluído","Concluído",IF(Y207&lt;TODAY(),"Vencido",IF(Y207-TODAY()&lt;=2,"A vencer","No prazo"))))</f>
        <v/>
      </c>
      <c r="AA207" s="3">
        <f>IF(OR(Y207="",Q207="Concluído"),"",Y207-TODAY())</f>
        <v/>
      </c>
      <c r="AB207" s="5" t="n"/>
      <c r="AC207" s="5" t="n"/>
      <c r="AD207" s="4" t="n"/>
    </row>
    <row r="208">
      <c r="A208" s="3">
        <f>IF(C208="","",ROW()-1)</f>
        <v/>
      </c>
      <c r="B208" s="4" t="n"/>
      <c r="C208" s="4" t="n"/>
      <c r="D208" s="5" t="n"/>
      <c r="E208" s="5" t="n"/>
      <c r="F208" s="5" t="n"/>
      <c r="G208" s="5" t="n"/>
      <c r="H208" s="5" t="n"/>
      <c r="I208" s="5" t="n"/>
      <c r="J208" s="5" t="n"/>
      <c r="K208" s="6" t="n"/>
      <c r="L208" s="6" t="n"/>
      <c r="M208" s="6" t="n"/>
      <c r="N208" s="5" t="n"/>
      <c r="O208" s="21" t="n"/>
      <c r="P208" s="5" t="n"/>
      <c r="Q208" s="5" t="n"/>
      <c r="R208" s="6" t="n"/>
      <c r="S208" s="4" t="n"/>
      <c r="T208" s="4" t="n"/>
      <c r="U208" s="3">
        <f>IF(C208="","",IF(T208="",TODAY()-C208,T208-C208))</f>
        <v/>
      </c>
      <c r="V208" s="5" t="n"/>
      <c r="W208" s="6" t="n"/>
      <c r="X208" s="3">
        <f>IF(P208="","",IFERROR(VLOOKUP(P208,Parâmetros!$J$2:$K$5,2,FALSE),""))</f>
        <v/>
      </c>
      <c r="Y208" s="4">
        <f>IF(OR(C208="",X208=""),"",C208+X208)</f>
        <v/>
      </c>
      <c r="Z208" s="5">
        <f>IF(C208="","",IF(Q208="Concluído","Concluído",IF(Y208&lt;TODAY(),"Vencido",IF(Y208-TODAY()&lt;=2,"A vencer","No prazo"))))</f>
        <v/>
      </c>
      <c r="AA208" s="3">
        <f>IF(OR(Y208="",Q208="Concluído"),"",Y208-TODAY())</f>
        <v/>
      </c>
      <c r="AB208" s="5" t="n"/>
      <c r="AC208" s="5" t="n"/>
      <c r="AD208" s="4" t="n"/>
    </row>
    <row r="209">
      <c r="A209" s="3">
        <f>IF(C209="","",ROW()-1)</f>
        <v/>
      </c>
      <c r="B209" s="4" t="n"/>
      <c r="C209" s="4" t="n"/>
      <c r="D209" s="5" t="n"/>
      <c r="E209" s="5" t="n"/>
      <c r="F209" s="5" t="n"/>
      <c r="G209" s="5" t="n"/>
      <c r="H209" s="5" t="n"/>
      <c r="I209" s="5" t="n"/>
      <c r="J209" s="5" t="n"/>
      <c r="K209" s="6" t="n"/>
      <c r="L209" s="6" t="n"/>
      <c r="M209" s="6" t="n"/>
      <c r="N209" s="5" t="n"/>
      <c r="O209" s="21" t="n"/>
      <c r="P209" s="5" t="n"/>
      <c r="Q209" s="5" t="n"/>
      <c r="R209" s="6" t="n"/>
      <c r="S209" s="4" t="n"/>
      <c r="T209" s="4" t="n"/>
      <c r="U209" s="3">
        <f>IF(C209="","",IF(T209="",TODAY()-C209,T209-C209))</f>
        <v/>
      </c>
      <c r="V209" s="5" t="n"/>
      <c r="W209" s="6" t="n"/>
      <c r="X209" s="3">
        <f>IF(P209="","",IFERROR(VLOOKUP(P209,Parâmetros!$J$2:$K$5,2,FALSE),""))</f>
        <v/>
      </c>
      <c r="Y209" s="4">
        <f>IF(OR(C209="",X209=""),"",C209+X209)</f>
        <v/>
      </c>
      <c r="Z209" s="5">
        <f>IF(C209="","",IF(Q209="Concluído","Concluído",IF(Y209&lt;TODAY(),"Vencido",IF(Y209-TODAY()&lt;=2,"A vencer","No prazo"))))</f>
        <v/>
      </c>
      <c r="AA209" s="3">
        <f>IF(OR(Y209="",Q209="Concluído"),"",Y209-TODAY())</f>
        <v/>
      </c>
      <c r="AB209" s="5" t="n"/>
      <c r="AC209" s="5" t="n"/>
      <c r="AD209" s="4" t="n"/>
    </row>
    <row r="210">
      <c r="A210" s="3">
        <f>IF(C210="","",ROW()-1)</f>
        <v/>
      </c>
      <c r="B210" s="4" t="n"/>
      <c r="C210" s="4" t="n"/>
      <c r="D210" s="5" t="n"/>
      <c r="E210" s="5" t="n"/>
      <c r="F210" s="5" t="n"/>
      <c r="G210" s="5" t="n"/>
      <c r="H210" s="5" t="n"/>
      <c r="I210" s="5" t="n"/>
      <c r="J210" s="5" t="n"/>
      <c r="K210" s="6" t="n"/>
      <c r="L210" s="6" t="n"/>
      <c r="M210" s="6" t="n"/>
      <c r="N210" s="5" t="n"/>
      <c r="O210" s="21" t="n"/>
      <c r="P210" s="5" t="n"/>
      <c r="Q210" s="5" t="n"/>
      <c r="R210" s="6" t="n"/>
      <c r="S210" s="4" t="n"/>
      <c r="T210" s="4" t="n"/>
      <c r="U210" s="3">
        <f>IF(C210="","",IF(T210="",TODAY()-C210,T210-C210))</f>
        <v/>
      </c>
      <c r="V210" s="5" t="n"/>
      <c r="W210" s="6" t="n"/>
      <c r="X210" s="3">
        <f>IF(P210="","",IFERROR(VLOOKUP(P210,Parâmetros!$J$2:$K$5,2,FALSE),""))</f>
        <v/>
      </c>
      <c r="Y210" s="4">
        <f>IF(OR(C210="",X210=""),"",C210+X210)</f>
        <v/>
      </c>
      <c r="Z210" s="5">
        <f>IF(C210="","",IF(Q210="Concluído","Concluído",IF(Y210&lt;TODAY(),"Vencido",IF(Y210-TODAY()&lt;=2,"A vencer","No prazo"))))</f>
        <v/>
      </c>
      <c r="AA210" s="3">
        <f>IF(OR(Y210="",Q210="Concluído"),"",Y210-TODAY())</f>
        <v/>
      </c>
      <c r="AB210" s="5" t="n"/>
      <c r="AC210" s="5" t="n"/>
      <c r="AD210" s="4" t="n"/>
    </row>
    <row r="211">
      <c r="A211" s="3">
        <f>IF(C211="","",ROW()-1)</f>
        <v/>
      </c>
      <c r="B211" s="4" t="n"/>
      <c r="C211" s="4" t="n"/>
      <c r="D211" s="5" t="n"/>
      <c r="E211" s="5" t="n"/>
      <c r="F211" s="5" t="n"/>
      <c r="G211" s="5" t="n"/>
      <c r="H211" s="5" t="n"/>
      <c r="I211" s="5" t="n"/>
      <c r="J211" s="5" t="n"/>
      <c r="K211" s="6" t="n"/>
      <c r="L211" s="6" t="n"/>
      <c r="M211" s="6" t="n"/>
      <c r="N211" s="5" t="n"/>
      <c r="O211" s="21" t="n"/>
      <c r="P211" s="5" t="n"/>
      <c r="Q211" s="5" t="n"/>
      <c r="R211" s="6" t="n"/>
      <c r="S211" s="4" t="n"/>
      <c r="T211" s="4" t="n"/>
      <c r="U211" s="3">
        <f>IF(C211="","",IF(T211="",TODAY()-C211,T211-C211))</f>
        <v/>
      </c>
      <c r="V211" s="5" t="n"/>
      <c r="W211" s="6" t="n"/>
      <c r="X211" s="3">
        <f>IF(P211="","",IFERROR(VLOOKUP(P211,Parâmetros!$J$2:$K$5,2,FALSE),""))</f>
        <v/>
      </c>
      <c r="Y211" s="4">
        <f>IF(OR(C211="",X211=""),"",C211+X211)</f>
        <v/>
      </c>
      <c r="Z211" s="5">
        <f>IF(C211="","",IF(Q211="Concluído","Concluído",IF(Y211&lt;TODAY(),"Vencido",IF(Y211-TODAY()&lt;=2,"A vencer","No prazo"))))</f>
        <v/>
      </c>
      <c r="AA211" s="3">
        <f>IF(OR(Y211="",Q211="Concluído"),"",Y211-TODAY())</f>
        <v/>
      </c>
      <c r="AB211" s="5" t="n"/>
      <c r="AC211" s="5" t="n"/>
      <c r="AD211" s="4" t="n"/>
    </row>
    <row r="212">
      <c r="A212" s="3">
        <f>IF(C212="","",ROW()-1)</f>
        <v/>
      </c>
      <c r="B212" s="4" t="n"/>
      <c r="C212" s="4" t="n"/>
      <c r="D212" s="5" t="n"/>
      <c r="E212" s="5" t="n"/>
      <c r="F212" s="5" t="n"/>
      <c r="G212" s="5" t="n"/>
      <c r="H212" s="5" t="n"/>
      <c r="I212" s="5" t="n"/>
      <c r="J212" s="5" t="n"/>
      <c r="K212" s="6" t="n"/>
      <c r="L212" s="6" t="n"/>
      <c r="M212" s="6" t="n"/>
      <c r="N212" s="5" t="n"/>
      <c r="O212" s="21" t="n"/>
      <c r="P212" s="5" t="n"/>
      <c r="Q212" s="5" t="n"/>
      <c r="R212" s="6" t="n"/>
      <c r="S212" s="4" t="n"/>
      <c r="T212" s="4" t="n"/>
      <c r="U212" s="3">
        <f>IF(C212="","",IF(T212="",TODAY()-C212,T212-C212))</f>
        <v/>
      </c>
      <c r="V212" s="5" t="n"/>
      <c r="W212" s="6" t="n"/>
      <c r="X212" s="3">
        <f>IF(P212="","",IFERROR(VLOOKUP(P212,Parâmetros!$J$2:$K$5,2,FALSE),""))</f>
        <v/>
      </c>
      <c r="Y212" s="4">
        <f>IF(OR(C212="",X212=""),"",C212+X212)</f>
        <v/>
      </c>
      <c r="Z212" s="5">
        <f>IF(C212="","",IF(Q212="Concluído","Concluído",IF(Y212&lt;TODAY(),"Vencido",IF(Y212-TODAY()&lt;=2,"A vencer","No prazo"))))</f>
        <v/>
      </c>
      <c r="AA212" s="3">
        <f>IF(OR(Y212="",Q212="Concluído"),"",Y212-TODAY())</f>
        <v/>
      </c>
      <c r="AB212" s="5" t="n"/>
      <c r="AC212" s="5" t="n"/>
      <c r="AD212" s="4" t="n"/>
    </row>
    <row r="213">
      <c r="A213" s="3">
        <f>IF(C213="","",ROW()-1)</f>
        <v/>
      </c>
      <c r="B213" s="4" t="n"/>
      <c r="C213" s="4" t="n"/>
      <c r="D213" s="5" t="n"/>
      <c r="E213" s="5" t="n"/>
      <c r="F213" s="5" t="n"/>
      <c r="G213" s="5" t="n"/>
      <c r="H213" s="5" t="n"/>
      <c r="I213" s="5" t="n"/>
      <c r="J213" s="5" t="n"/>
      <c r="K213" s="6" t="n"/>
      <c r="L213" s="6" t="n"/>
      <c r="M213" s="6" t="n"/>
      <c r="N213" s="5" t="n"/>
      <c r="O213" s="21" t="n"/>
      <c r="P213" s="5" t="n"/>
      <c r="Q213" s="5" t="n"/>
      <c r="R213" s="6" t="n"/>
      <c r="S213" s="4" t="n"/>
      <c r="T213" s="4" t="n"/>
      <c r="U213" s="3">
        <f>IF(C213="","",IF(T213="",TODAY()-C213,T213-C213))</f>
        <v/>
      </c>
      <c r="V213" s="5" t="n"/>
      <c r="W213" s="6" t="n"/>
      <c r="X213" s="3">
        <f>IF(P213="","",IFERROR(VLOOKUP(P213,Parâmetros!$J$2:$K$5,2,FALSE),""))</f>
        <v/>
      </c>
      <c r="Y213" s="4">
        <f>IF(OR(C213="",X213=""),"",C213+X213)</f>
        <v/>
      </c>
      <c r="Z213" s="5">
        <f>IF(C213="","",IF(Q213="Concluído","Concluído",IF(Y213&lt;TODAY(),"Vencido",IF(Y213-TODAY()&lt;=2,"A vencer","No prazo"))))</f>
        <v/>
      </c>
      <c r="AA213" s="3">
        <f>IF(OR(Y213="",Q213="Concluído"),"",Y213-TODAY())</f>
        <v/>
      </c>
      <c r="AB213" s="5" t="n"/>
      <c r="AC213" s="5" t="n"/>
      <c r="AD213" s="4" t="n"/>
    </row>
    <row r="214">
      <c r="A214" s="3">
        <f>IF(C214="","",ROW()-1)</f>
        <v/>
      </c>
      <c r="B214" s="4" t="n"/>
      <c r="C214" s="4" t="n"/>
      <c r="D214" s="5" t="n"/>
      <c r="E214" s="5" t="n"/>
      <c r="F214" s="5" t="n"/>
      <c r="G214" s="5" t="n"/>
      <c r="H214" s="5" t="n"/>
      <c r="I214" s="5" t="n"/>
      <c r="J214" s="5" t="n"/>
      <c r="K214" s="6" t="n"/>
      <c r="L214" s="6" t="n"/>
      <c r="M214" s="6" t="n"/>
      <c r="N214" s="5" t="n"/>
      <c r="O214" s="21" t="n"/>
      <c r="P214" s="5" t="n"/>
      <c r="Q214" s="5" t="n"/>
      <c r="R214" s="6" t="n"/>
      <c r="S214" s="4" t="n"/>
      <c r="T214" s="4" t="n"/>
      <c r="U214" s="3">
        <f>IF(C214="","",IF(T214="",TODAY()-C214,T214-C214))</f>
        <v/>
      </c>
      <c r="V214" s="5" t="n"/>
      <c r="W214" s="6" t="n"/>
      <c r="X214" s="3">
        <f>IF(P214="","",IFERROR(VLOOKUP(P214,Parâmetros!$J$2:$K$5,2,FALSE),""))</f>
        <v/>
      </c>
      <c r="Y214" s="4">
        <f>IF(OR(C214="",X214=""),"",C214+X214)</f>
        <v/>
      </c>
      <c r="Z214" s="5">
        <f>IF(C214="","",IF(Q214="Concluído","Concluído",IF(Y214&lt;TODAY(),"Vencido",IF(Y214-TODAY()&lt;=2,"A vencer","No prazo"))))</f>
        <v/>
      </c>
      <c r="AA214" s="3">
        <f>IF(OR(Y214="",Q214="Concluído"),"",Y214-TODAY())</f>
        <v/>
      </c>
      <c r="AB214" s="5" t="n"/>
      <c r="AC214" s="5" t="n"/>
      <c r="AD214" s="4" t="n"/>
    </row>
    <row r="215">
      <c r="A215" s="3">
        <f>IF(C215="","",ROW()-1)</f>
        <v/>
      </c>
      <c r="B215" s="4" t="n"/>
      <c r="C215" s="4" t="n"/>
      <c r="D215" s="5" t="n"/>
      <c r="E215" s="5" t="n"/>
      <c r="F215" s="5" t="n"/>
      <c r="G215" s="5" t="n"/>
      <c r="H215" s="5" t="n"/>
      <c r="I215" s="5" t="n"/>
      <c r="J215" s="5" t="n"/>
      <c r="K215" s="6" t="n"/>
      <c r="L215" s="6" t="n"/>
      <c r="M215" s="6" t="n"/>
      <c r="N215" s="5" t="n"/>
      <c r="O215" s="21" t="n"/>
      <c r="P215" s="5" t="n"/>
      <c r="Q215" s="5" t="n"/>
      <c r="R215" s="6" t="n"/>
      <c r="S215" s="4" t="n"/>
      <c r="T215" s="4" t="n"/>
      <c r="U215" s="3">
        <f>IF(C215="","",IF(T215="",TODAY()-C215,T215-C215))</f>
        <v/>
      </c>
      <c r="V215" s="5" t="n"/>
      <c r="W215" s="6" t="n"/>
      <c r="X215" s="3">
        <f>IF(P215="","",IFERROR(VLOOKUP(P215,Parâmetros!$J$2:$K$5,2,FALSE),""))</f>
        <v/>
      </c>
      <c r="Y215" s="4">
        <f>IF(OR(C215="",X215=""),"",C215+X215)</f>
        <v/>
      </c>
      <c r="Z215" s="5">
        <f>IF(C215="","",IF(Q215="Concluído","Concluído",IF(Y215&lt;TODAY(),"Vencido",IF(Y215-TODAY()&lt;=2,"A vencer","No prazo"))))</f>
        <v/>
      </c>
      <c r="AA215" s="3">
        <f>IF(OR(Y215="",Q215="Concluído"),"",Y215-TODAY())</f>
        <v/>
      </c>
      <c r="AB215" s="5" t="n"/>
      <c r="AC215" s="5" t="n"/>
      <c r="AD215" s="4" t="n"/>
    </row>
    <row r="216">
      <c r="A216" s="3">
        <f>IF(C216="","",ROW()-1)</f>
        <v/>
      </c>
      <c r="B216" s="4" t="n"/>
      <c r="C216" s="4" t="n"/>
      <c r="D216" s="5" t="n"/>
      <c r="E216" s="5" t="n"/>
      <c r="F216" s="5" t="n"/>
      <c r="G216" s="5" t="n"/>
      <c r="H216" s="5" t="n"/>
      <c r="I216" s="5" t="n"/>
      <c r="J216" s="5" t="n"/>
      <c r="K216" s="6" t="n"/>
      <c r="L216" s="6" t="n"/>
      <c r="M216" s="6" t="n"/>
      <c r="N216" s="5" t="n"/>
      <c r="O216" s="21" t="n"/>
      <c r="P216" s="5" t="n"/>
      <c r="Q216" s="5" t="n"/>
      <c r="R216" s="6" t="n"/>
      <c r="S216" s="4" t="n"/>
      <c r="T216" s="4" t="n"/>
      <c r="U216" s="3">
        <f>IF(C216="","",IF(T216="",TODAY()-C216,T216-C216))</f>
        <v/>
      </c>
      <c r="V216" s="5" t="n"/>
      <c r="W216" s="6" t="n"/>
      <c r="X216" s="3">
        <f>IF(P216="","",IFERROR(VLOOKUP(P216,Parâmetros!$J$2:$K$5,2,FALSE),""))</f>
        <v/>
      </c>
      <c r="Y216" s="4">
        <f>IF(OR(C216="",X216=""),"",C216+X216)</f>
        <v/>
      </c>
      <c r="Z216" s="5">
        <f>IF(C216="","",IF(Q216="Concluído","Concluído",IF(Y216&lt;TODAY(),"Vencido",IF(Y216-TODAY()&lt;=2,"A vencer","No prazo"))))</f>
        <v/>
      </c>
      <c r="AA216" s="3">
        <f>IF(OR(Y216="",Q216="Concluído"),"",Y216-TODAY())</f>
        <v/>
      </c>
      <c r="AB216" s="5" t="n"/>
      <c r="AC216" s="5" t="n"/>
      <c r="AD216" s="4" t="n"/>
    </row>
    <row r="217">
      <c r="A217" s="3">
        <f>IF(C217="","",ROW()-1)</f>
        <v/>
      </c>
      <c r="B217" s="4" t="n"/>
      <c r="C217" s="4" t="n"/>
      <c r="D217" s="5" t="n"/>
      <c r="E217" s="5" t="n"/>
      <c r="F217" s="5" t="n"/>
      <c r="G217" s="5" t="n"/>
      <c r="H217" s="5" t="n"/>
      <c r="I217" s="5" t="n"/>
      <c r="J217" s="5" t="n"/>
      <c r="K217" s="6" t="n"/>
      <c r="L217" s="6" t="n"/>
      <c r="M217" s="6" t="n"/>
      <c r="N217" s="5" t="n"/>
      <c r="O217" s="21" t="n"/>
      <c r="P217" s="5" t="n"/>
      <c r="Q217" s="5" t="n"/>
      <c r="R217" s="6" t="n"/>
      <c r="S217" s="4" t="n"/>
      <c r="T217" s="4" t="n"/>
      <c r="U217" s="3">
        <f>IF(C217="","",IF(T217="",TODAY()-C217,T217-C217))</f>
        <v/>
      </c>
      <c r="V217" s="5" t="n"/>
      <c r="W217" s="6" t="n"/>
      <c r="X217" s="3">
        <f>IF(P217="","",IFERROR(VLOOKUP(P217,Parâmetros!$J$2:$K$5,2,FALSE),""))</f>
        <v/>
      </c>
      <c r="Y217" s="4">
        <f>IF(OR(C217="",X217=""),"",C217+X217)</f>
        <v/>
      </c>
      <c r="Z217" s="5">
        <f>IF(C217="","",IF(Q217="Concluído","Concluído",IF(Y217&lt;TODAY(),"Vencido",IF(Y217-TODAY()&lt;=2,"A vencer","No prazo"))))</f>
        <v/>
      </c>
      <c r="AA217" s="3">
        <f>IF(OR(Y217="",Q217="Concluído"),"",Y217-TODAY())</f>
        <v/>
      </c>
      <c r="AB217" s="5" t="n"/>
      <c r="AC217" s="5" t="n"/>
      <c r="AD217" s="4" t="n"/>
    </row>
    <row r="218">
      <c r="A218" s="3">
        <f>IF(C218="","",ROW()-1)</f>
        <v/>
      </c>
      <c r="B218" s="4" t="n"/>
      <c r="C218" s="4" t="n"/>
      <c r="D218" s="5" t="n"/>
      <c r="E218" s="5" t="n"/>
      <c r="F218" s="5" t="n"/>
      <c r="G218" s="5" t="n"/>
      <c r="H218" s="5" t="n"/>
      <c r="I218" s="5" t="n"/>
      <c r="J218" s="5" t="n"/>
      <c r="K218" s="6" t="n"/>
      <c r="L218" s="6" t="n"/>
      <c r="M218" s="6" t="n"/>
      <c r="N218" s="5" t="n"/>
      <c r="O218" s="21" t="n"/>
      <c r="P218" s="5" t="n"/>
      <c r="Q218" s="5" t="n"/>
      <c r="R218" s="6" t="n"/>
      <c r="S218" s="4" t="n"/>
      <c r="T218" s="4" t="n"/>
      <c r="U218" s="3">
        <f>IF(C218="","",IF(T218="",TODAY()-C218,T218-C218))</f>
        <v/>
      </c>
      <c r="V218" s="5" t="n"/>
      <c r="W218" s="6" t="n"/>
      <c r="X218" s="3">
        <f>IF(P218="","",IFERROR(VLOOKUP(P218,Parâmetros!$J$2:$K$5,2,FALSE),""))</f>
        <v/>
      </c>
      <c r="Y218" s="4">
        <f>IF(OR(C218="",X218=""),"",C218+X218)</f>
        <v/>
      </c>
      <c r="Z218" s="5">
        <f>IF(C218="","",IF(Q218="Concluído","Concluído",IF(Y218&lt;TODAY(),"Vencido",IF(Y218-TODAY()&lt;=2,"A vencer","No prazo"))))</f>
        <v/>
      </c>
      <c r="AA218" s="3">
        <f>IF(OR(Y218="",Q218="Concluído"),"",Y218-TODAY())</f>
        <v/>
      </c>
      <c r="AB218" s="5" t="n"/>
      <c r="AC218" s="5" t="n"/>
      <c r="AD218" s="4" t="n"/>
    </row>
    <row r="219">
      <c r="A219" s="3">
        <f>IF(C219="","",ROW()-1)</f>
        <v/>
      </c>
      <c r="B219" s="4" t="n"/>
      <c r="C219" s="4" t="n"/>
      <c r="D219" s="5" t="n"/>
      <c r="E219" s="5" t="n"/>
      <c r="F219" s="5" t="n"/>
      <c r="G219" s="5" t="n"/>
      <c r="H219" s="5" t="n"/>
      <c r="I219" s="5" t="n"/>
      <c r="J219" s="5" t="n"/>
      <c r="K219" s="6" t="n"/>
      <c r="L219" s="6" t="n"/>
      <c r="M219" s="6" t="n"/>
      <c r="N219" s="5" t="n"/>
      <c r="O219" s="21" t="n"/>
      <c r="P219" s="5" t="n"/>
      <c r="Q219" s="5" t="n"/>
      <c r="R219" s="6" t="n"/>
      <c r="S219" s="4" t="n"/>
      <c r="T219" s="4" t="n"/>
      <c r="U219" s="3">
        <f>IF(C219="","",IF(T219="",TODAY()-C219,T219-C219))</f>
        <v/>
      </c>
      <c r="V219" s="5" t="n"/>
      <c r="W219" s="6" t="n"/>
      <c r="X219" s="3">
        <f>IF(P219="","",IFERROR(VLOOKUP(P219,Parâmetros!$J$2:$K$5,2,FALSE),""))</f>
        <v/>
      </c>
      <c r="Y219" s="4">
        <f>IF(OR(C219="",X219=""),"",C219+X219)</f>
        <v/>
      </c>
      <c r="Z219" s="5">
        <f>IF(C219="","",IF(Q219="Concluído","Concluído",IF(Y219&lt;TODAY(),"Vencido",IF(Y219-TODAY()&lt;=2,"A vencer","No prazo"))))</f>
        <v/>
      </c>
      <c r="AA219" s="3">
        <f>IF(OR(Y219="",Q219="Concluído"),"",Y219-TODAY())</f>
        <v/>
      </c>
      <c r="AB219" s="5" t="n"/>
      <c r="AC219" s="5" t="n"/>
      <c r="AD219" s="4" t="n"/>
    </row>
    <row r="220">
      <c r="A220" s="3">
        <f>IF(C220="","",ROW()-1)</f>
        <v/>
      </c>
      <c r="B220" s="4" t="n"/>
      <c r="C220" s="4" t="n"/>
      <c r="D220" s="5" t="n"/>
      <c r="E220" s="5" t="n"/>
      <c r="F220" s="5" t="n"/>
      <c r="G220" s="5" t="n"/>
      <c r="H220" s="5" t="n"/>
      <c r="I220" s="5" t="n"/>
      <c r="J220" s="5" t="n"/>
      <c r="K220" s="6" t="n"/>
      <c r="L220" s="6" t="n"/>
      <c r="M220" s="6" t="n"/>
      <c r="N220" s="5" t="n"/>
      <c r="O220" s="21" t="n"/>
      <c r="P220" s="5" t="n"/>
      <c r="Q220" s="5" t="n"/>
      <c r="R220" s="6" t="n"/>
      <c r="S220" s="4" t="n"/>
      <c r="T220" s="4" t="n"/>
      <c r="U220" s="3">
        <f>IF(C220="","",IF(T220="",TODAY()-C220,T220-C220))</f>
        <v/>
      </c>
      <c r="V220" s="5" t="n"/>
      <c r="W220" s="6" t="n"/>
      <c r="X220" s="3">
        <f>IF(P220="","",IFERROR(VLOOKUP(P220,Parâmetros!$J$2:$K$5,2,FALSE),""))</f>
        <v/>
      </c>
      <c r="Y220" s="4">
        <f>IF(OR(C220="",X220=""),"",C220+X220)</f>
        <v/>
      </c>
      <c r="Z220" s="5">
        <f>IF(C220="","",IF(Q220="Concluído","Concluído",IF(Y220&lt;TODAY(),"Vencido",IF(Y220-TODAY()&lt;=2,"A vencer","No prazo"))))</f>
        <v/>
      </c>
      <c r="AA220" s="3">
        <f>IF(OR(Y220="",Q220="Concluído"),"",Y220-TODAY())</f>
        <v/>
      </c>
      <c r="AB220" s="5" t="n"/>
      <c r="AC220" s="5" t="n"/>
      <c r="AD220" s="4" t="n"/>
    </row>
    <row r="221">
      <c r="A221" s="3">
        <f>IF(C221="","",ROW()-1)</f>
        <v/>
      </c>
      <c r="B221" s="4" t="n"/>
      <c r="C221" s="4" t="n"/>
      <c r="D221" s="5" t="n"/>
      <c r="E221" s="5" t="n"/>
      <c r="F221" s="5" t="n"/>
      <c r="G221" s="5" t="n"/>
      <c r="H221" s="5" t="n"/>
      <c r="I221" s="5" t="n"/>
      <c r="J221" s="5" t="n"/>
      <c r="K221" s="6" t="n"/>
      <c r="L221" s="6" t="n"/>
      <c r="M221" s="6" t="n"/>
      <c r="N221" s="5" t="n"/>
      <c r="O221" s="21" t="n"/>
      <c r="P221" s="5" t="n"/>
      <c r="Q221" s="5" t="n"/>
      <c r="R221" s="6" t="n"/>
      <c r="S221" s="4" t="n"/>
      <c r="T221" s="4" t="n"/>
      <c r="U221" s="3">
        <f>IF(C221="","",IF(T221="",TODAY()-C221,T221-C221))</f>
        <v/>
      </c>
      <c r="V221" s="5" t="n"/>
      <c r="W221" s="6" t="n"/>
      <c r="X221" s="3">
        <f>IF(P221="","",IFERROR(VLOOKUP(P221,Parâmetros!$J$2:$K$5,2,FALSE),""))</f>
        <v/>
      </c>
      <c r="Y221" s="4">
        <f>IF(OR(C221="",X221=""),"",C221+X221)</f>
        <v/>
      </c>
      <c r="Z221" s="5">
        <f>IF(C221="","",IF(Q221="Concluído","Concluído",IF(Y221&lt;TODAY(),"Vencido",IF(Y221-TODAY()&lt;=2,"A vencer","No prazo"))))</f>
        <v/>
      </c>
      <c r="AA221" s="3">
        <f>IF(OR(Y221="",Q221="Concluído"),"",Y221-TODAY())</f>
        <v/>
      </c>
      <c r="AB221" s="5" t="n"/>
      <c r="AC221" s="5" t="n"/>
      <c r="AD221" s="4" t="n"/>
    </row>
    <row r="222">
      <c r="A222" s="3">
        <f>IF(C222="","",ROW()-1)</f>
        <v/>
      </c>
      <c r="B222" s="4" t="n"/>
      <c r="C222" s="4" t="n"/>
      <c r="D222" s="5" t="n"/>
      <c r="E222" s="5" t="n"/>
      <c r="F222" s="5" t="n"/>
      <c r="G222" s="5" t="n"/>
      <c r="H222" s="5" t="n"/>
      <c r="I222" s="5" t="n"/>
      <c r="J222" s="5" t="n"/>
      <c r="K222" s="6" t="n"/>
      <c r="L222" s="6" t="n"/>
      <c r="M222" s="6" t="n"/>
      <c r="N222" s="5" t="n"/>
      <c r="O222" s="21" t="n"/>
      <c r="P222" s="5" t="n"/>
      <c r="Q222" s="5" t="n"/>
      <c r="R222" s="6" t="n"/>
      <c r="S222" s="4" t="n"/>
      <c r="T222" s="4" t="n"/>
      <c r="U222" s="3">
        <f>IF(C222="","",IF(T222="",TODAY()-C222,T222-C222))</f>
        <v/>
      </c>
      <c r="V222" s="5" t="n"/>
      <c r="W222" s="6" t="n"/>
      <c r="X222" s="3">
        <f>IF(P222="","",IFERROR(VLOOKUP(P222,Parâmetros!$J$2:$K$5,2,FALSE),""))</f>
        <v/>
      </c>
      <c r="Y222" s="4">
        <f>IF(OR(C222="",X222=""),"",C222+X222)</f>
        <v/>
      </c>
      <c r="Z222" s="5">
        <f>IF(C222="","",IF(Q222="Concluído","Concluído",IF(Y222&lt;TODAY(),"Vencido",IF(Y222-TODAY()&lt;=2,"A vencer","No prazo"))))</f>
        <v/>
      </c>
      <c r="AA222" s="3">
        <f>IF(OR(Y222="",Q222="Concluído"),"",Y222-TODAY())</f>
        <v/>
      </c>
      <c r="AB222" s="5" t="n"/>
      <c r="AC222" s="5" t="n"/>
      <c r="AD222" s="4" t="n"/>
    </row>
    <row r="223">
      <c r="A223" s="3">
        <f>IF(C223="","",ROW()-1)</f>
        <v/>
      </c>
      <c r="B223" s="4" t="n"/>
      <c r="C223" s="4" t="n"/>
      <c r="D223" s="5" t="n"/>
      <c r="E223" s="5" t="n"/>
      <c r="F223" s="5" t="n"/>
      <c r="G223" s="5" t="n"/>
      <c r="H223" s="5" t="n"/>
      <c r="I223" s="5" t="n"/>
      <c r="J223" s="5" t="n"/>
      <c r="K223" s="6" t="n"/>
      <c r="L223" s="6" t="n"/>
      <c r="M223" s="6" t="n"/>
      <c r="N223" s="5" t="n"/>
      <c r="O223" s="21" t="n"/>
      <c r="P223" s="5" t="n"/>
      <c r="Q223" s="5" t="n"/>
      <c r="R223" s="6" t="n"/>
      <c r="S223" s="4" t="n"/>
      <c r="T223" s="4" t="n"/>
      <c r="U223" s="3">
        <f>IF(C223="","",IF(T223="",TODAY()-C223,T223-C223))</f>
        <v/>
      </c>
      <c r="V223" s="5" t="n"/>
      <c r="W223" s="6" t="n"/>
      <c r="X223" s="3">
        <f>IF(P223="","",IFERROR(VLOOKUP(P223,Parâmetros!$J$2:$K$5,2,FALSE),""))</f>
        <v/>
      </c>
      <c r="Y223" s="4">
        <f>IF(OR(C223="",X223=""),"",C223+X223)</f>
        <v/>
      </c>
      <c r="Z223" s="5">
        <f>IF(C223="","",IF(Q223="Concluído","Concluído",IF(Y223&lt;TODAY(),"Vencido",IF(Y223-TODAY()&lt;=2,"A vencer","No prazo"))))</f>
        <v/>
      </c>
      <c r="AA223" s="3">
        <f>IF(OR(Y223="",Q223="Concluído"),"",Y223-TODAY())</f>
        <v/>
      </c>
      <c r="AB223" s="5" t="n"/>
      <c r="AC223" s="5" t="n"/>
      <c r="AD223" s="4" t="n"/>
    </row>
    <row r="224">
      <c r="A224" s="3">
        <f>IF(C224="","",ROW()-1)</f>
        <v/>
      </c>
      <c r="B224" s="4" t="n"/>
      <c r="C224" s="4" t="n"/>
      <c r="D224" s="5" t="n"/>
      <c r="E224" s="5" t="n"/>
      <c r="F224" s="5" t="n"/>
      <c r="G224" s="5" t="n"/>
      <c r="H224" s="5" t="n"/>
      <c r="I224" s="5" t="n"/>
      <c r="J224" s="5" t="n"/>
      <c r="K224" s="6" t="n"/>
      <c r="L224" s="6" t="n"/>
      <c r="M224" s="6" t="n"/>
      <c r="N224" s="5" t="n"/>
      <c r="O224" s="21" t="n"/>
      <c r="P224" s="5" t="n"/>
      <c r="Q224" s="5" t="n"/>
      <c r="R224" s="6" t="n"/>
      <c r="S224" s="4" t="n"/>
      <c r="T224" s="4" t="n"/>
      <c r="U224" s="3">
        <f>IF(C224="","",IF(T224="",TODAY()-C224,T224-C224))</f>
        <v/>
      </c>
      <c r="V224" s="5" t="n"/>
      <c r="W224" s="6" t="n"/>
      <c r="X224" s="3">
        <f>IF(P224="","",IFERROR(VLOOKUP(P224,Parâmetros!$J$2:$K$5,2,FALSE),""))</f>
        <v/>
      </c>
      <c r="Y224" s="4">
        <f>IF(OR(C224="",X224=""),"",C224+X224)</f>
        <v/>
      </c>
      <c r="Z224" s="5">
        <f>IF(C224="","",IF(Q224="Concluído","Concluído",IF(Y224&lt;TODAY(),"Vencido",IF(Y224-TODAY()&lt;=2,"A vencer","No prazo"))))</f>
        <v/>
      </c>
      <c r="AA224" s="3">
        <f>IF(OR(Y224="",Q224="Concluído"),"",Y224-TODAY())</f>
        <v/>
      </c>
      <c r="AB224" s="5" t="n"/>
      <c r="AC224" s="5" t="n"/>
      <c r="AD224" s="4" t="n"/>
    </row>
    <row r="225">
      <c r="A225" s="3">
        <f>IF(C225="","",ROW()-1)</f>
        <v/>
      </c>
      <c r="B225" s="4" t="n"/>
      <c r="C225" s="4" t="n"/>
      <c r="D225" s="5" t="n"/>
      <c r="E225" s="5" t="n"/>
      <c r="F225" s="5" t="n"/>
      <c r="G225" s="5" t="n"/>
      <c r="H225" s="5" t="n"/>
      <c r="I225" s="5" t="n"/>
      <c r="J225" s="5" t="n"/>
      <c r="K225" s="6" t="n"/>
      <c r="L225" s="6" t="n"/>
      <c r="M225" s="6" t="n"/>
      <c r="N225" s="5" t="n"/>
      <c r="O225" s="21" t="n"/>
      <c r="P225" s="5" t="n"/>
      <c r="Q225" s="5" t="n"/>
      <c r="R225" s="6" t="n"/>
      <c r="S225" s="4" t="n"/>
      <c r="T225" s="4" t="n"/>
      <c r="U225" s="3">
        <f>IF(C225="","",IF(T225="",TODAY()-C225,T225-C225))</f>
        <v/>
      </c>
      <c r="V225" s="5" t="n"/>
      <c r="W225" s="6" t="n"/>
      <c r="X225" s="3">
        <f>IF(P225="","",IFERROR(VLOOKUP(P225,Parâmetros!$J$2:$K$5,2,FALSE),""))</f>
        <v/>
      </c>
      <c r="Y225" s="4">
        <f>IF(OR(C225="",X225=""),"",C225+X225)</f>
        <v/>
      </c>
      <c r="Z225" s="5">
        <f>IF(C225="","",IF(Q225="Concluído","Concluído",IF(Y225&lt;TODAY(),"Vencido",IF(Y225-TODAY()&lt;=2,"A vencer","No prazo"))))</f>
        <v/>
      </c>
      <c r="AA225" s="3">
        <f>IF(OR(Y225="",Q225="Concluído"),"",Y225-TODAY())</f>
        <v/>
      </c>
      <c r="AB225" s="5" t="n"/>
      <c r="AC225" s="5" t="n"/>
      <c r="AD225" s="4" t="n"/>
    </row>
    <row r="226">
      <c r="A226" s="3">
        <f>IF(C226="","",ROW()-1)</f>
        <v/>
      </c>
      <c r="B226" s="4" t="n"/>
      <c r="C226" s="4" t="n"/>
      <c r="D226" s="5" t="n"/>
      <c r="E226" s="5" t="n"/>
      <c r="F226" s="5" t="n"/>
      <c r="G226" s="5" t="n"/>
      <c r="H226" s="5" t="n"/>
      <c r="I226" s="5" t="n"/>
      <c r="J226" s="5" t="n"/>
      <c r="K226" s="6" t="n"/>
      <c r="L226" s="6" t="n"/>
      <c r="M226" s="6" t="n"/>
      <c r="N226" s="5" t="n"/>
      <c r="O226" s="21" t="n"/>
      <c r="P226" s="5" t="n"/>
      <c r="Q226" s="5" t="n"/>
      <c r="R226" s="6" t="n"/>
      <c r="S226" s="4" t="n"/>
      <c r="T226" s="4" t="n"/>
      <c r="U226" s="3">
        <f>IF(C226="","",IF(T226="",TODAY()-C226,T226-C226))</f>
        <v/>
      </c>
      <c r="V226" s="5" t="n"/>
      <c r="W226" s="6" t="n"/>
      <c r="X226" s="3">
        <f>IF(P226="","",IFERROR(VLOOKUP(P226,Parâmetros!$J$2:$K$5,2,FALSE),""))</f>
        <v/>
      </c>
      <c r="Y226" s="4">
        <f>IF(OR(C226="",X226=""),"",C226+X226)</f>
        <v/>
      </c>
      <c r="Z226" s="5">
        <f>IF(C226="","",IF(Q226="Concluído","Concluído",IF(Y226&lt;TODAY(),"Vencido",IF(Y226-TODAY()&lt;=2,"A vencer","No prazo"))))</f>
        <v/>
      </c>
      <c r="AA226" s="3">
        <f>IF(OR(Y226="",Q226="Concluído"),"",Y226-TODAY())</f>
        <v/>
      </c>
      <c r="AB226" s="5" t="n"/>
      <c r="AC226" s="5" t="n"/>
      <c r="AD226" s="4" t="n"/>
    </row>
    <row r="227">
      <c r="A227" s="3">
        <f>IF(C227="","",ROW()-1)</f>
        <v/>
      </c>
      <c r="B227" s="4" t="n"/>
      <c r="C227" s="4" t="n"/>
      <c r="D227" s="5" t="n"/>
      <c r="E227" s="5" t="n"/>
      <c r="F227" s="5" t="n"/>
      <c r="G227" s="5" t="n"/>
      <c r="H227" s="5" t="n"/>
      <c r="I227" s="5" t="n"/>
      <c r="J227" s="5" t="n"/>
      <c r="K227" s="6" t="n"/>
      <c r="L227" s="6" t="n"/>
      <c r="M227" s="6" t="n"/>
      <c r="N227" s="5" t="n"/>
      <c r="O227" s="21" t="n"/>
      <c r="P227" s="5" t="n"/>
      <c r="Q227" s="5" t="n"/>
      <c r="R227" s="6" t="n"/>
      <c r="S227" s="4" t="n"/>
      <c r="T227" s="4" t="n"/>
      <c r="U227" s="3">
        <f>IF(C227="","",IF(T227="",TODAY()-C227,T227-C227))</f>
        <v/>
      </c>
      <c r="V227" s="5" t="n"/>
      <c r="W227" s="6" t="n"/>
      <c r="X227" s="3">
        <f>IF(P227="","",IFERROR(VLOOKUP(P227,Parâmetros!$J$2:$K$5,2,FALSE),""))</f>
        <v/>
      </c>
      <c r="Y227" s="4">
        <f>IF(OR(C227="",X227=""),"",C227+X227)</f>
        <v/>
      </c>
      <c r="Z227" s="5">
        <f>IF(C227="","",IF(Q227="Concluído","Concluído",IF(Y227&lt;TODAY(),"Vencido",IF(Y227-TODAY()&lt;=2,"A vencer","No prazo"))))</f>
        <v/>
      </c>
      <c r="AA227" s="3">
        <f>IF(OR(Y227="",Q227="Concluído"),"",Y227-TODAY())</f>
        <v/>
      </c>
      <c r="AB227" s="5" t="n"/>
      <c r="AC227" s="5" t="n"/>
      <c r="AD227" s="4" t="n"/>
    </row>
    <row r="228">
      <c r="A228" s="3">
        <f>IF(C228="","",ROW()-1)</f>
        <v/>
      </c>
      <c r="B228" s="4" t="n"/>
      <c r="C228" s="4" t="n"/>
      <c r="D228" s="5" t="n"/>
      <c r="E228" s="5" t="n"/>
      <c r="F228" s="5" t="n"/>
      <c r="G228" s="5" t="n"/>
      <c r="H228" s="5" t="n"/>
      <c r="I228" s="5" t="n"/>
      <c r="J228" s="5" t="n"/>
      <c r="K228" s="6" t="n"/>
      <c r="L228" s="6" t="n"/>
      <c r="M228" s="6" t="n"/>
      <c r="N228" s="5" t="n"/>
      <c r="O228" s="21" t="n"/>
      <c r="P228" s="5" t="n"/>
      <c r="Q228" s="5" t="n"/>
      <c r="R228" s="6" t="n"/>
      <c r="S228" s="4" t="n"/>
      <c r="T228" s="4" t="n"/>
      <c r="U228" s="3">
        <f>IF(C228="","",IF(T228="",TODAY()-C228,T228-C228))</f>
        <v/>
      </c>
      <c r="V228" s="5" t="n"/>
      <c r="W228" s="6" t="n"/>
      <c r="X228" s="3">
        <f>IF(P228="","",IFERROR(VLOOKUP(P228,Parâmetros!$J$2:$K$5,2,FALSE),""))</f>
        <v/>
      </c>
      <c r="Y228" s="4">
        <f>IF(OR(C228="",X228=""),"",C228+X228)</f>
        <v/>
      </c>
      <c r="Z228" s="5">
        <f>IF(C228="","",IF(Q228="Concluído","Concluído",IF(Y228&lt;TODAY(),"Vencido",IF(Y228-TODAY()&lt;=2,"A vencer","No prazo"))))</f>
        <v/>
      </c>
      <c r="AA228" s="3">
        <f>IF(OR(Y228="",Q228="Concluído"),"",Y228-TODAY())</f>
        <v/>
      </c>
      <c r="AB228" s="5" t="n"/>
      <c r="AC228" s="5" t="n"/>
      <c r="AD228" s="4" t="n"/>
    </row>
    <row r="229">
      <c r="A229" s="3">
        <f>IF(C229="","",ROW()-1)</f>
        <v/>
      </c>
      <c r="B229" s="4" t="n"/>
      <c r="C229" s="4" t="n"/>
      <c r="D229" s="5" t="n"/>
      <c r="E229" s="5" t="n"/>
      <c r="F229" s="5" t="n"/>
      <c r="G229" s="5" t="n"/>
      <c r="H229" s="5" t="n"/>
      <c r="I229" s="5" t="n"/>
      <c r="J229" s="5" t="n"/>
      <c r="K229" s="6" t="n"/>
      <c r="L229" s="6" t="n"/>
      <c r="M229" s="6" t="n"/>
      <c r="N229" s="5" t="n"/>
      <c r="O229" s="21" t="n"/>
      <c r="P229" s="5" t="n"/>
      <c r="Q229" s="5" t="n"/>
      <c r="R229" s="6" t="n"/>
      <c r="S229" s="4" t="n"/>
      <c r="T229" s="4" t="n"/>
      <c r="U229" s="3">
        <f>IF(C229="","",IF(T229="",TODAY()-C229,T229-C229))</f>
        <v/>
      </c>
      <c r="V229" s="5" t="n"/>
      <c r="W229" s="6" t="n"/>
      <c r="X229" s="3">
        <f>IF(P229="","",IFERROR(VLOOKUP(P229,Parâmetros!$J$2:$K$5,2,FALSE),""))</f>
        <v/>
      </c>
      <c r="Y229" s="4">
        <f>IF(OR(C229="",X229=""),"",C229+X229)</f>
        <v/>
      </c>
      <c r="Z229" s="5">
        <f>IF(C229="","",IF(Q229="Concluído","Concluído",IF(Y229&lt;TODAY(),"Vencido",IF(Y229-TODAY()&lt;=2,"A vencer","No prazo"))))</f>
        <v/>
      </c>
      <c r="AA229" s="3">
        <f>IF(OR(Y229="",Q229="Concluído"),"",Y229-TODAY())</f>
        <v/>
      </c>
      <c r="AB229" s="5" t="n"/>
      <c r="AC229" s="5" t="n"/>
      <c r="AD229" s="4" t="n"/>
    </row>
    <row r="230">
      <c r="A230" s="3">
        <f>IF(C230="","",ROW()-1)</f>
        <v/>
      </c>
      <c r="B230" s="4" t="n"/>
      <c r="C230" s="4" t="n"/>
      <c r="D230" s="5" t="n"/>
      <c r="E230" s="5" t="n"/>
      <c r="F230" s="5" t="n"/>
      <c r="G230" s="5" t="n"/>
      <c r="H230" s="5" t="n"/>
      <c r="I230" s="5" t="n"/>
      <c r="J230" s="5" t="n"/>
      <c r="K230" s="6" t="n"/>
      <c r="L230" s="6" t="n"/>
      <c r="M230" s="6" t="n"/>
      <c r="N230" s="5" t="n"/>
      <c r="O230" s="21" t="n"/>
      <c r="P230" s="5" t="n"/>
      <c r="Q230" s="5" t="n"/>
      <c r="R230" s="6" t="n"/>
      <c r="S230" s="4" t="n"/>
      <c r="T230" s="4" t="n"/>
      <c r="U230" s="3">
        <f>IF(C230="","",IF(T230="",TODAY()-C230,T230-C230))</f>
        <v/>
      </c>
      <c r="V230" s="5" t="n"/>
      <c r="W230" s="6" t="n"/>
      <c r="X230" s="3">
        <f>IF(P230="","",IFERROR(VLOOKUP(P230,Parâmetros!$J$2:$K$5,2,FALSE),""))</f>
        <v/>
      </c>
      <c r="Y230" s="4">
        <f>IF(OR(C230="",X230=""),"",C230+X230)</f>
        <v/>
      </c>
      <c r="Z230" s="5">
        <f>IF(C230="","",IF(Q230="Concluído","Concluído",IF(Y230&lt;TODAY(),"Vencido",IF(Y230-TODAY()&lt;=2,"A vencer","No prazo"))))</f>
        <v/>
      </c>
      <c r="AA230" s="3">
        <f>IF(OR(Y230="",Q230="Concluído"),"",Y230-TODAY())</f>
        <v/>
      </c>
      <c r="AB230" s="5" t="n"/>
      <c r="AC230" s="5" t="n"/>
      <c r="AD230" s="4" t="n"/>
    </row>
    <row r="231">
      <c r="A231" s="3">
        <f>IF(C231="","",ROW()-1)</f>
        <v/>
      </c>
      <c r="B231" s="4" t="n"/>
      <c r="C231" s="4" t="n"/>
      <c r="D231" s="5" t="n"/>
      <c r="E231" s="5" t="n"/>
      <c r="F231" s="5" t="n"/>
      <c r="G231" s="5" t="n"/>
      <c r="H231" s="5" t="n"/>
      <c r="I231" s="5" t="n"/>
      <c r="J231" s="5" t="n"/>
      <c r="K231" s="6" t="n"/>
      <c r="L231" s="6" t="n"/>
      <c r="M231" s="6" t="n"/>
      <c r="N231" s="5" t="n"/>
      <c r="O231" s="21" t="n"/>
      <c r="P231" s="5" t="n"/>
      <c r="Q231" s="5" t="n"/>
      <c r="R231" s="6" t="n"/>
      <c r="S231" s="4" t="n"/>
      <c r="T231" s="4" t="n"/>
      <c r="U231" s="3">
        <f>IF(C231="","",IF(T231="",TODAY()-C231,T231-C231))</f>
        <v/>
      </c>
      <c r="V231" s="5" t="n"/>
      <c r="W231" s="6" t="n"/>
      <c r="X231" s="3">
        <f>IF(P231="","",IFERROR(VLOOKUP(P231,Parâmetros!$J$2:$K$5,2,FALSE),""))</f>
        <v/>
      </c>
      <c r="Y231" s="4">
        <f>IF(OR(C231="",X231=""),"",C231+X231)</f>
        <v/>
      </c>
      <c r="Z231" s="5">
        <f>IF(C231="","",IF(Q231="Concluído","Concluído",IF(Y231&lt;TODAY(),"Vencido",IF(Y231-TODAY()&lt;=2,"A vencer","No prazo"))))</f>
        <v/>
      </c>
      <c r="AA231" s="3">
        <f>IF(OR(Y231="",Q231="Concluído"),"",Y231-TODAY())</f>
        <v/>
      </c>
      <c r="AB231" s="5" t="n"/>
      <c r="AC231" s="5" t="n"/>
      <c r="AD231" s="4" t="n"/>
    </row>
    <row r="232">
      <c r="A232" s="3">
        <f>IF(C232="","",ROW()-1)</f>
        <v/>
      </c>
      <c r="B232" s="4" t="n"/>
      <c r="C232" s="4" t="n"/>
      <c r="D232" s="5" t="n"/>
      <c r="E232" s="5" t="n"/>
      <c r="F232" s="5" t="n"/>
      <c r="G232" s="5" t="n"/>
      <c r="H232" s="5" t="n"/>
      <c r="I232" s="5" t="n"/>
      <c r="J232" s="5" t="n"/>
      <c r="K232" s="6" t="n"/>
      <c r="L232" s="6" t="n"/>
      <c r="M232" s="6" t="n"/>
      <c r="N232" s="5" t="n"/>
      <c r="O232" s="21" t="n"/>
      <c r="P232" s="5" t="n"/>
      <c r="Q232" s="5" t="n"/>
      <c r="R232" s="6" t="n"/>
      <c r="S232" s="4" t="n"/>
      <c r="T232" s="4" t="n"/>
      <c r="U232" s="3">
        <f>IF(C232="","",IF(T232="",TODAY()-C232,T232-C232))</f>
        <v/>
      </c>
      <c r="V232" s="5" t="n"/>
      <c r="W232" s="6" t="n"/>
      <c r="X232" s="3">
        <f>IF(P232="","",IFERROR(VLOOKUP(P232,Parâmetros!$J$2:$K$5,2,FALSE),""))</f>
        <v/>
      </c>
      <c r="Y232" s="4">
        <f>IF(OR(C232="",X232=""),"",C232+X232)</f>
        <v/>
      </c>
      <c r="Z232" s="5">
        <f>IF(C232="","",IF(Q232="Concluído","Concluído",IF(Y232&lt;TODAY(),"Vencido",IF(Y232-TODAY()&lt;=2,"A vencer","No prazo"))))</f>
        <v/>
      </c>
      <c r="AA232" s="3">
        <f>IF(OR(Y232="",Q232="Concluído"),"",Y232-TODAY())</f>
        <v/>
      </c>
      <c r="AB232" s="5" t="n"/>
      <c r="AC232" s="5" t="n"/>
      <c r="AD232" s="4" t="n"/>
    </row>
    <row r="233">
      <c r="A233" s="3">
        <f>IF(C233="","",ROW()-1)</f>
        <v/>
      </c>
      <c r="B233" s="4" t="n"/>
      <c r="C233" s="4" t="n"/>
      <c r="D233" s="5" t="n"/>
      <c r="E233" s="5" t="n"/>
      <c r="F233" s="5" t="n"/>
      <c r="G233" s="5" t="n"/>
      <c r="H233" s="5" t="n"/>
      <c r="I233" s="5" t="n"/>
      <c r="J233" s="5" t="n"/>
      <c r="K233" s="6" t="n"/>
      <c r="L233" s="6" t="n"/>
      <c r="M233" s="6" t="n"/>
      <c r="N233" s="5" t="n"/>
      <c r="O233" s="21" t="n"/>
      <c r="P233" s="5" t="n"/>
      <c r="Q233" s="5" t="n"/>
      <c r="R233" s="6" t="n"/>
      <c r="S233" s="4" t="n"/>
      <c r="T233" s="4" t="n"/>
      <c r="U233" s="3">
        <f>IF(C233="","",IF(T233="",TODAY()-C233,T233-C233))</f>
        <v/>
      </c>
      <c r="V233" s="5" t="n"/>
      <c r="W233" s="6" t="n"/>
      <c r="X233" s="3">
        <f>IF(P233="","",IFERROR(VLOOKUP(P233,Parâmetros!$J$2:$K$5,2,FALSE),""))</f>
        <v/>
      </c>
      <c r="Y233" s="4">
        <f>IF(OR(C233="",X233=""),"",C233+X233)</f>
        <v/>
      </c>
      <c r="Z233" s="5">
        <f>IF(C233="","",IF(Q233="Concluído","Concluído",IF(Y233&lt;TODAY(),"Vencido",IF(Y233-TODAY()&lt;=2,"A vencer","No prazo"))))</f>
        <v/>
      </c>
      <c r="AA233" s="3">
        <f>IF(OR(Y233="",Q233="Concluído"),"",Y233-TODAY())</f>
        <v/>
      </c>
      <c r="AB233" s="5" t="n"/>
      <c r="AC233" s="5" t="n"/>
      <c r="AD233" s="4" t="n"/>
    </row>
    <row r="234">
      <c r="A234" s="3">
        <f>IF(C234="","",ROW()-1)</f>
        <v/>
      </c>
      <c r="B234" s="4" t="n"/>
      <c r="C234" s="4" t="n"/>
      <c r="D234" s="5" t="n"/>
      <c r="E234" s="5" t="n"/>
      <c r="F234" s="5" t="n"/>
      <c r="G234" s="5" t="n"/>
      <c r="H234" s="5" t="n"/>
      <c r="I234" s="5" t="n"/>
      <c r="J234" s="5" t="n"/>
      <c r="K234" s="6" t="n"/>
      <c r="L234" s="6" t="n"/>
      <c r="M234" s="6" t="n"/>
      <c r="N234" s="5" t="n"/>
      <c r="O234" s="21" t="n"/>
      <c r="P234" s="5" t="n"/>
      <c r="Q234" s="5" t="n"/>
      <c r="R234" s="6" t="n"/>
      <c r="S234" s="4" t="n"/>
      <c r="T234" s="4" t="n"/>
      <c r="U234" s="3">
        <f>IF(C234="","",IF(T234="",TODAY()-C234,T234-C234))</f>
        <v/>
      </c>
      <c r="V234" s="5" t="n"/>
      <c r="W234" s="6" t="n"/>
      <c r="X234" s="3">
        <f>IF(P234="","",IFERROR(VLOOKUP(P234,Parâmetros!$J$2:$K$5,2,FALSE),""))</f>
        <v/>
      </c>
      <c r="Y234" s="4">
        <f>IF(OR(C234="",X234=""),"",C234+X234)</f>
        <v/>
      </c>
      <c r="Z234" s="5">
        <f>IF(C234="","",IF(Q234="Concluído","Concluído",IF(Y234&lt;TODAY(),"Vencido",IF(Y234-TODAY()&lt;=2,"A vencer","No prazo"))))</f>
        <v/>
      </c>
      <c r="AA234" s="3">
        <f>IF(OR(Y234="",Q234="Concluído"),"",Y234-TODAY())</f>
        <v/>
      </c>
      <c r="AB234" s="5" t="n"/>
      <c r="AC234" s="5" t="n"/>
      <c r="AD234" s="4" t="n"/>
    </row>
    <row r="235">
      <c r="A235" s="3">
        <f>IF(C235="","",ROW()-1)</f>
        <v/>
      </c>
      <c r="B235" s="4" t="n"/>
      <c r="C235" s="4" t="n"/>
      <c r="D235" s="5" t="n"/>
      <c r="E235" s="5" t="n"/>
      <c r="F235" s="5" t="n"/>
      <c r="G235" s="5" t="n"/>
      <c r="H235" s="5" t="n"/>
      <c r="I235" s="5" t="n"/>
      <c r="J235" s="5" t="n"/>
      <c r="K235" s="6" t="n"/>
      <c r="L235" s="6" t="n"/>
      <c r="M235" s="6" t="n"/>
      <c r="N235" s="5" t="n"/>
      <c r="O235" s="21" t="n"/>
      <c r="P235" s="5" t="n"/>
      <c r="Q235" s="5" t="n"/>
      <c r="R235" s="6" t="n"/>
      <c r="S235" s="4" t="n"/>
      <c r="T235" s="4" t="n"/>
      <c r="U235" s="3">
        <f>IF(C235="","",IF(T235="",TODAY()-C235,T235-C235))</f>
        <v/>
      </c>
      <c r="V235" s="5" t="n"/>
      <c r="W235" s="6" t="n"/>
      <c r="X235" s="3">
        <f>IF(P235="","",IFERROR(VLOOKUP(P235,Parâmetros!$J$2:$K$5,2,FALSE),""))</f>
        <v/>
      </c>
      <c r="Y235" s="4">
        <f>IF(OR(C235="",X235=""),"",C235+X235)</f>
        <v/>
      </c>
      <c r="Z235" s="5">
        <f>IF(C235="","",IF(Q235="Concluído","Concluído",IF(Y235&lt;TODAY(),"Vencido",IF(Y235-TODAY()&lt;=2,"A vencer","No prazo"))))</f>
        <v/>
      </c>
      <c r="AA235" s="3">
        <f>IF(OR(Y235="",Q235="Concluído"),"",Y235-TODAY())</f>
        <v/>
      </c>
      <c r="AB235" s="5" t="n"/>
      <c r="AC235" s="5" t="n"/>
      <c r="AD235" s="4" t="n"/>
    </row>
    <row r="236">
      <c r="A236" s="3">
        <f>IF(C236="","",ROW()-1)</f>
        <v/>
      </c>
      <c r="B236" s="4" t="n"/>
      <c r="C236" s="4" t="n"/>
      <c r="D236" s="5" t="n"/>
      <c r="E236" s="5" t="n"/>
      <c r="F236" s="5" t="n"/>
      <c r="G236" s="5" t="n"/>
      <c r="H236" s="5" t="n"/>
      <c r="I236" s="5" t="n"/>
      <c r="J236" s="5" t="n"/>
      <c r="K236" s="6" t="n"/>
      <c r="L236" s="6" t="n"/>
      <c r="M236" s="6" t="n"/>
      <c r="N236" s="5" t="n"/>
      <c r="O236" s="21" t="n"/>
      <c r="P236" s="5" t="n"/>
      <c r="Q236" s="5" t="n"/>
      <c r="R236" s="6" t="n"/>
      <c r="S236" s="4" t="n"/>
      <c r="T236" s="4" t="n"/>
      <c r="U236" s="3">
        <f>IF(C236="","",IF(T236="",TODAY()-C236,T236-C236))</f>
        <v/>
      </c>
      <c r="V236" s="5" t="n"/>
      <c r="W236" s="6" t="n"/>
      <c r="X236" s="3">
        <f>IF(P236="","",IFERROR(VLOOKUP(P236,Parâmetros!$J$2:$K$5,2,FALSE),""))</f>
        <v/>
      </c>
      <c r="Y236" s="4">
        <f>IF(OR(C236="",X236=""),"",C236+X236)</f>
        <v/>
      </c>
      <c r="Z236" s="5">
        <f>IF(C236="","",IF(Q236="Concluído","Concluído",IF(Y236&lt;TODAY(),"Vencido",IF(Y236-TODAY()&lt;=2,"A vencer","No prazo"))))</f>
        <v/>
      </c>
      <c r="AA236" s="3">
        <f>IF(OR(Y236="",Q236="Concluído"),"",Y236-TODAY())</f>
        <v/>
      </c>
      <c r="AB236" s="5" t="n"/>
      <c r="AC236" s="5" t="n"/>
      <c r="AD236" s="4" t="n"/>
    </row>
    <row r="237">
      <c r="A237" s="3">
        <f>IF(C237="","",ROW()-1)</f>
        <v/>
      </c>
      <c r="B237" s="4" t="n"/>
      <c r="C237" s="4" t="n"/>
      <c r="D237" s="5" t="n"/>
      <c r="E237" s="5" t="n"/>
      <c r="F237" s="5" t="n"/>
      <c r="G237" s="5" t="n"/>
      <c r="H237" s="5" t="n"/>
      <c r="I237" s="5" t="n"/>
      <c r="J237" s="5" t="n"/>
      <c r="K237" s="6" t="n"/>
      <c r="L237" s="6" t="n"/>
      <c r="M237" s="6" t="n"/>
      <c r="N237" s="5" t="n"/>
      <c r="O237" s="21" t="n"/>
      <c r="P237" s="5" t="n"/>
      <c r="Q237" s="5" t="n"/>
      <c r="R237" s="6" t="n"/>
      <c r="S237" s="4" t="n"/>
      <c r="T237" s="4" t="n"/>
      <c r="U237" s="3">
        <f>IF(C237="","",IF(T237="",TODAY()-C237,T237-C237))</f>
        <v/>
      </c>
      <c r="V237" s="5" t="n"/>
      <c r="W237" s="6" t="n"/>
      <c r="X237" s="3">
        <f>IF(P237="","",IFERROR(VLOOKUP(P237,Parâmetros!$J$2:$K$5,2,FALSE),""))</f>
        <v/>
      </c>
      <c r="Y237" s="4">
        <f>IF(OR(C237="",X237=""),"",C237+X237)</f>
        <v/>
      </c>
      <c r="Z237" s="5">
        <f>IF(C237="","",IF(Q237="Concluído","Concluído",IF(Y237&lt;TODAY(),"Vencido",IF(Y237-TODAY()&lt;=2,"A vencer","No prazo"))))</f>
        <v/>
      </c>
      <c r="AA237" s="3">
        <f>IF(OR(Y237="",Q237="Concluído"),"",Y237-TODAY())</f>
        <v/>
      </c>
      <c r="AB237" s="5" t="n"/>
      <c r="AC237" s="5" t="n"/>
      <c r="AD237" s="4" t="n"/>
    </row>
    <row r="238">
      <c r="A238" s="3">
        <f>IF(C238="","",ROW()-1)</f>
        <v/>
      </c>
      <c r="B238" s="4" t="n"/>
      <c r="C238" s="4" t="n"/>
      <c r="D238" s="5" t="n"/>
      <c r="E238" s="5" t="n"/>
      <c r="F238" s="5" t="n"/>
      <c r="G238" s="5" t="n"/>
      <c r="H238" s="5" t="n"/>
      <c r="I238" s="5" t="n"/>
      <c r="J238" s="5" t="n"/>
      <c r="K238" s="6" t="n"/>
      <c r="L238" s="6" t="n"/>
      <c r="M238" s="6" t="n"/>
      <c r="N238" s="5" t="n"/>
      <c r="O238" s="21" t="n"/>
      <c r="P238" s="5" t="n"/>
      <c r="Q238" s="5" t="n"/>
      <c r="R238" s="6" t="n"/>
      <c r="S238" s="4" t="n"/>
      <c r="T238" s="4" t="n"/>
      <c r="U238" s="3">
        <f>IF(C238="","",IF(T238="",TODAY()-C238,T238-C238))</f>
        <v/>
      </c>
      <c r="V238" s="5" t="n"/>
      <c r="W238" s="6" t="n"/>
      <c r="X238" s="3">
        <f>IF(P238="","",IFERROR(VLOOKUP(P238,Parâmetros!$J$2:$K$5,2,FALSE),""))</f>
        <v/>
      </c>
      <c r="Y238" s="4">
        <f>IF(OR(C238="",X238=""),"",C238+X238)</f>
        <v/>
      </c>
      <c r="Z238" s="5">
        <f>IF(C238="","",IF(Q238="Concluído","Concluído",IF(Y238&lt;TODAY(),"Vencido",IF(Y238-TODAY()&lt;=2,"A vencer","No prazo"))))</f>
        <v/>
      </c>
      <c r="AA238" s="3">
        <f>IF(OR(Y238="",Q238="Concluído"),"",Y238-TODAY())</f>
        <v/>
      </c>
      <c r="AB238" s="5" t="n"/>
      <c r="AC238" s="5" t="n"/>
      <c r="AD238" s="4" t="n"/>
    </row>
    <row r="239">
      <c r="A239" s="3">
        <f>IF(C239="","",ROW()-1)</f>
        <v/>
      </c>
      <c r="B239" s="4" t="n"/>
      <c r="C239" s="4" t="n"/>
      <c r="D239" s="5" t="n"/>
      <c r="E239" s="5" t="n"/>
      <c r="F239" s="5" t="n"/>
      <c r="G239" s="5" t="n"/>
      <c r="H239" s="5" t="n"/>
      <c r="I239" s="5" t="n"/>
      <c r="J239" s="5" t="n"/>
      <c r="K239" s="6" t="n"/>
      <c r="L239" s="6" t="n"/>
      <c r="M239" s="6" t="n"/>
      <c r="N239" s="5" t="n"/>
      <c r="O239" s="21" t="n"/>
      <c r="P239" s="5" t="n"/>
      <c r="Q239" s="5" t="n"/>
      <c r="R239" s="6" t="n"/>
      <c r="S239" s="4" t="n"/>
      <c r="T239" s="4" t="n"/>
      <c r="U239" s="3">
        <f>IF(C239="","",IF(T239="",TODAY()-C239,T239-C239))</f>
        <v/>
      </c>
      <c r="V239" s="5" t="n"/>
      <c r="W239" s="6" t="n"/>
      <c r="X239" s="3">
        <f>IF(P239="","",IFERROR(VLOOKUP(P239,Parâmetros!$J$2:$K$5,2,FALSE),""))</f>
        <v/>
      </c>
      <c r="Y239" s="4">
        <f>IF(OR(C239="",X239=""),"",C239+X239)</f>
        <v/>
      </c>
      <c r="Z239" s="5">
        <f>IF(C239="","",IF(Q239="Concluído","Concluído",IF(Y239&lt;TODAY(),"Vencido",IF(Y239-TODAY()&lt;=2,"A vencer","No prazo"))))</f>
        <v/>
      </c>
      <c r="AA239" s="3">
        <f>IF(OR(Y239="",Q239="Concluído"),"",Y239-TODAY())</f>
        <v/>
      </c>
      <c r="AB239" s="5" t="n"/>
      <c r="AC239" s="5" t="n"/>
      <c r="AD239" s="4" t="n"/>
    </row>
    <row r="240">
      <c r="A240" s="3">
        <f>IF(C240="","",ROW()-1)</f>
        <v/>
      </c>
      <c r="B240" s="4" t="n"/>
      <c r="C240" s="4" t="n"/>
      <c r="D240" s="5" t="n"/>
      <c r="E240" s="5" t="n"/>
      <c r="F240" s="5" t="n"/>
      <c r="G240" s="5" t="n"/>
      <c r="H240" s="5" t="n"/>
      <c r="I240" s="5" t="n"/>
      <c r="J240" s="5" t="n"/>
      <c r="K240" s="6" t="n"/>
      <c r="L240" s="6" t="n"/>
      <c r="M240" s="6" t="n"/>
      <c r="N240" s="5" t="n"/>
      <c r="O240" s="21" t="n"/>
      <c r="P240" s="5" t="n"/>
      <c r="Q240" s="5" t="n"/>
      <c r="R240" s="6" t="n"/>
      <c r="S240" s="4" t="n"/>
      <c r="T240" s="4" t="n"/>
      <c r="U240" s="3">
        <f>IF(C240="","",IF(T240="",TODAY()-C240,T240-C240))</f>
        <v/>
      </c>
      <c r="V240" s="5" t="n"/>
      <c r="W240" s="6" t="n"/>
      <c r="X240" s="3">
        <f>IF(P240="","",IFERROR(VLOOKUP(P240,Parâmetros!$J$2:$K$5,2,FALSE),""))</f>
        <v/>
      </c>
      <c r="Y240" s="4">
        <f>IF(OR(C240="",X240=""),"",C240+X240)</f>
        <v/>
      </c>
      <c r="Z240" s="5">
        <f>IF(C240="","",IF(Q240="Concluído","Concluído",IF(Y240&lt;TODAY(),"Vencido",IF(Y240-TODAY()&lt;=2,"A vencer","No prazo"))))</f>
        <v/>
      </c>
      <c r="AA240" s="3">
        <f>IF(OR(Y240="",Q240="Concluído"),"",Y240-TODAY())</f>
        <v/>
      </c>
      <c r="AB240" s="5" t="n"/>
      <c r="AC240" s="5" t="n"/>
      <c r="AD240" s="4" t="n"/>
    </row>
    <row r="241">
      <c r="A241" s="3">
        <f>IF(C241="","",ROW()-1)</f>
        <v/>
      </c>
      <c r="B241" s="4" t="n"/>
      <c r="C241" s="4" t="n"/>
      <c r="D241" s="5" t="n"/>
      <c r="E241" s="5" t="n"/>
      <c r="F241" s="5" t="n"/>
      <c r="G241" s="5" t="n"/>
      <c r="H241" s="5" t="n"/>
      <c r="I241" s="5" t="n"/>
      <c r="J241" s="5" t="n"/>
      <c r="K241" s="6" t="n"/>
      <c r="L241" s="6" t="n"/>
      <c r="M241" s="6" t="n"/>
      <c r="N241" s="5" t="n"/>
      <c r="O241" s="21" t="n"/>
      <c r="P241" s="5" t="n"/>
      <c r="Q241" s="5" t="n"/>
      <c r="R241" s="6" t="n"/>
      <c r="S241" s="4" t="n"/>
      <c r="T241" s="4" t="n"/>
      <c r="U241" s="3">
        <f>IF(C241="","",IF(T241="",TODAY()-C241,T241-C241))</f>
        <v/>
      </c>
      <c r="V241" s="5" t="n"/>
      <c r="W241" s="6" t="n"/>
      <c r="X241" s="3">
        <f>IF(P241="","",IFERROR(VLOOKUP(P241,Parâmetros!$J$2:$K$5,2,FALSE),""))</f>
        <v/>
      </c>
      <c r="Y241" s="4">
        <f>IF(OR(C241="",X241=""),"",C241+X241)</f>
        <v/>
      </c>
      <c r="Z241" s="5">
        <f>IF(C241="","",IF(Q241="Concluído","Concluído",IF(Y241&lt;TODAY(),"Vencido",IF(Y241-TODAY()&lt;=2,"A vencer","No prazo"))))</f>
        <v/>
      </c>
      <c r="AA241" s="3">
        <f>IF(OR(Y241="",Q241="Concluído"),"",Y241-TODAY())</f>
        <v/>
      </c>
      <c r="AB241" s="5" t="n"/>
      <c r="AC241" s="5" t="n"/>
      <c r="AD241" s="4" t="n"/>
    </row>
    <row r="242">
      <c r="A242" s="3">
        <f>IF(C242="","",ROW()-1)</f>
        <v/>
      </c>
      <c r="B242" s="4" t="n"/>
      <c r="C242" s="4" t="n"/>
      <c r="D242" s="5" t="n"/>
      <c r="E242" s="5" t="n"/>
      <c r="F242" s="5" t="n"/>
      <c r="G242" s="5" t="n"/>
      <c r="H242" s="5" t="n"/>
      <c r="I242" s="5" t="n"/>
      <c r="J242" s="5" t="n"/>
      <c r="K242" s="6" t="n"/>
      <c r="L242" s="6" t="n"/>
      <c r="M242" s="6" t="n"/>
      <c r="N242" s="5" t="n"/>
      <c r="O242" s="21" t="n"/>
      <c r="P242" s="5" t="n"/>
      <c r="Q242" s="5" t="n"/>
      <c r="R242" s="6" t="n"/>
      <c r="S242" s="4" t="n"/>
      <c r="T242" s="4" t="n"/>
      <c r="U242" s="3">
        <f>IF(C242="","",IF(T242="",TODAY()-C242,T242-C242))</f>
        <v/>
      </c>
      <c r="V242" s="5" t="n"/>
      <c r="W242" s="6" t="n"/>
      <c r="X242" s="3">
        <f>IF(P242="","",IFERROR(VLOOKUP(P242,Parâmetros!$J$2:$K$5,2,FALSE),""))</f>
        <v/>
      </c>
      <c r="Y242" s="4">
        <f>IF(OR(C242="",X242=""),"",C242+X242)</f>
        <v/>
      </c>
      <c r="Z242" s="5">
        <f>IF(C242="","",IF(Q242="Concluído","Concluído",IF(Y242&lt;TODAY(),"Vencido",IF(Y242-TODAY()&lt;=2,"A vencer","No prazo"))))</f>
        <v/>
      </c>
      <c r="AA242" s="3">
        <f>IF(OR(Y242="",Q242="Concluído"),"",Y242-TODAY())</f>
        <v/>
      </c>
      <c r="AB242" s="5" t="n"/>
      <c r="AC242" s="5" t="n"/>
      <c r="AD242" s="4" t="n"/>
    </row>
    <row r="243">
      <c r="A243" s="3">
        <f>IF(C243="","",ROW()-1)</f>
        <v/>
      </c>
      <c r="B243" s="4" t="n"/>
      <c r="C243" s="4" t="n"/>
      <c r="D243" s="5" t="n"/>
      <c r="E243" s="5" t="n"/>
      <c r="F243" s="5" t="n"/>
      <c r="G243" s="5" t="n"/>
      <c r="H243" s="5" t="n"/>
      <c r="I243" s="5" t="n"/>
      <c r="J243" s="5" t="n"/>
      <c r="K243" s="6" t="n"/>
      <c r="L243" s="6" t="n"/>
      <c r="M243" s="6" t="n"/>
      <c r="N243" s="5" t="n"/>
      <c r="O243" s="21" t="n"/>
      <c r="P243" s="5" t="n"/>
      <c r="Q243" s="5" t="n"/>
      <c r="R243" s="6" t="n"/>
      <c r="S243" s="4" t="n"/>
      <c r="T243" s="4" t="n"/>
      <c r="U243" s="3">
        <f>IF(C243="","",IF(T243="",TODAY()-C243,T243-C243))</f>
        <v/>
      </c>
      <c r="V243" s="5" t="n"/>
      <c r="W243" s="6" t="n"/>
      <c r="X243" s="3">
        <f>IF(P243="","",IFERROR(VLOOKUP(P243,Parâmetros!$J$2:$K$5,2,FALSE),""))</f>
        <v/>
      </c>
      <c r="Y243" s="4">
        <f>IF(OR(C243="",X243=""),"",C243+X243)</f>
        <v/>
      </c>
      <c r="Z243" s="5">
        <f>IF(C243="","",IF(Q243="Concluído","Concluído",IF(Y243&lt;TODAY(),"Vencido",IF(Y243-TODAY()&lt;=2,"A vencer","No prazo"))))</f>
        <v/>
      </c>
      <c r="AA243" s="3">
        <f>IF(OR(Y243="",Q243="Concluído"),"",Y243-TODAY())</f>
        <v/>
      </c>
      <c r="AB243" s="5" t="n"/>
      <c r="AC243" s="5" t="n"/>
      <c r="AD243" s="4" t="n"/>
    </row>
    <row r="244">
      <c r="A244" s="3">
        <f>IF(C244="","",ROW()-1)</f>
        <v/>
      </c>
      <c r="B244" s="4" t="n"/>
      <c r="C244" s="4" t="n"/>
      <c r="D244" s="5" t="n"/>
      <c r="E244" s="5" t="n"/>
      <c r="F244" s="5" t="n"/>
      <c r="G244" s="5" t="n"/>
      <c r="H244" s="5" t="n"/>
      <c r="I244" s="5" t="n"/>
      <c r="J244" s="5" t="n"/>
      <c r="K244" s="6" t="n"/>
      <c r="L244" s="6" t="n"/>
      <c r="M244" s="6" t="n"/>
      <c r="N244" s="5" t="n"/>
      <c r="O244" s="21" t="n"/>
      <c r="P244" s="5" t="n"/>
      <c r="Q244" s="5" t="n"/>
      <c r="R244" s="6" t="n"/>
      <c r="S244" s="4" t="n"/>
      <c r="T244" s="4" t="n"/>
      <c r="U244" s="3">
        <f>IF(C244="","",IF(T244="",TODAY()-C244,T244-C244))</f>
        <v/>
      </c>
      <c r="V244" s="5" t="n"/>
      <c r="W244" s="6" t="n"/>
      <c r="X244" s="3">
        <f>IF(P244="","",IFERROR(VLOOKUP(P244,Parâmetros!$J$2:$K$5,2,FALSE),""))</f>
        <v/>
      </c>
      <c r="Y244" s="4">
        <f>IF(OR(C244="",X244=""),"",C244+X244)</f>
        <v/>
      </c>
      <c r="Z244" s="5">
        <f>IF(C244="","",IF(Q244="Concluído","Concluído",IF(Y244&lt;TODAY(),"Vencido",IF(Y244-TODAY()&lt;=2,"A vencer","No prazo"))))</f>
        <v/>
      </c>
      <c r="AA244" s="3">
        <f>IF(OR(Y244="",Q244="Concluído"),"",Y244-TODAY())</f>
        <v/>
      </c>
      <c r="AB244" s="5" t="n"/>
      <c r="AC244" s="5" t="n"/>
      <c r="AD244" s="4" t="n"/>
    </row>
    <row r="245">
      <c r="A245" s="3">
        <f>IF(C245="","",ROW()-1)</f>
        <v/>
      </c>
      <c r="B245" s="4" t="n"/>
      <c r="C245" s="4" t="n"/>
      <c r="D245" s="5" t="n"/>
      <c r="E245" s="5" t="n"/>
      <c r="F245" s="5" t="n"/>
      <c r="G245" s="5" t="n"/>
      <c r="H245" s="5" t="n"/>
      <c r="I245" s="5" t="n"/>
      <c r="J245" s="5" t="n"/>
      <c r="K245" s="6" t="n"/>
      <c r="L245" s="6" t="n"/>
      <c r="M245" s="6" t="n"/>
      <c r="N245" s="5" t="n"/>
      <c r="O245" s="21" t="n"/>
      <c r="P245" s="5" t="n"/>
      <c r="Q245" s="5" t="n"/>
      <c r="R245" s="6" t="n"/>
      <c r="S245" s="4" t="n"/>
      <c r="T245" s="4" t="n"/>
      <c r="U245" s="3">
        <f>IF(C245="","",IF(T245="",TODAY()-C245,T245-C245))</f>
        <v/>
      </c>
      <c r="V245" s="5" t="n"/>
      <c r="W245" s="6" t="n"/>
      <c r="X245" s="3">
        <f>IF(P245="","",IFERROR(VLOOKUP(P245,Parâmetros!$J$2:$K$5,2,FALSE),""))</f>
        <v/>
      </c>
      <c r="Y245" s="4">
        <f>IF(OR(C245="",X245=""),"",C245+X245)</f>
        <v/>
      </c>
      <c r="Z245" s="5">
        <f>IF(C245="","",IF(Q245="Concluído","Concluído",IF(Y245&lt;TODAY(),"Vencido",IF(Y245-TODAY()&lt;=2,"A vencer","No prazo"))))</f>
        <v/>
      </c>
      <c r="AA245" s="3">
        <f>IF(OR(Y245="",Q245="Concluído"),"",Y245-TODAY())</f>
        <v/>
      </c>
      <c r="AB245" s="5" t="n"/>
      <c r="AC245" s="5" t="n"/>
      <c r="AD245" s="4" t="n"/>
    </row>
    <row r="246">
      <c r="A246" s="3">
        <f>IF(C246="","",ROW()-1)</f>
        <v/>
      </c>
      <c r="B246" s="4" t="n"/>
      <c r="C246" s="4" t="n"/>
      <c r="D246" s="5" t="n"/>
      <c r="E246" s="5" t="n"/>
      <c r="F246" s="5" t="n"/>
      <c r="G246" s="5" t="n"/>
      <c r="H246" s="5" t="n"/>
      <c r="I246" s="5" t="n"/>
      <c r="J246" s="5" t="n"/>
      <c r="K246" s="6" t="n"/>
      <c r="L246" s="6" t="n"/>
      <c r="M246" s="6" t="n"/>
      <c r="N246" s="5" t="n"/>
      <c r="O246" s="21" t="n"/>
      <c r="P246" s="5" t="n"/>
      <c r="Q246" s="5" t="n"/>
      <c r="R246" s="6" t="n"/>
      <c r="S246" s="4" t="n"/>
      <c r="T246" s="4" t="n"/>
      <c r="U246" s="3">
        <f>IF(C246="","",IF(T246="",TODAY()-C246,T246-C246))</f>
        <v/>
      </c>
      <c r="V246" s="5" t="n"/>
      <c r="W246" s="6" t="n"/>
      <c r="X246" s="3">
        <f>IF(P246="","",IFERROR(VLOOKUP(P246,Parâmetros!$J$2:$K$5,2,FALSE),""))</f>
        <v/>
      </c>
      <c r="Y246" s="4">
        <f>IF(OR(C246="",X246=""),"",C246+X246)</f>
        <v/>
      </c>
      <c r="Z246" s="5">
        <f>IF(C246="","",IF(Q246="Concluído","Concluído",IF(Y246&lt;TODAY(),"Vencido",IF(Y246-TODAY()&lt;=2,"A vencer","No prazo"))))</f>
        <v/>
      </c>
      <c r="AA246" s="3">
        <f>IF(OR(Y246="",Q246="Concluído"),"",Y246-TODAY())</f>
        <v/>
      </c>
      <c r="AB246" s="5" t="n"/>
      <c r="AC246" s="5" t="n"/>
      <c r="AD246" s="4" t="n"/>
    </row>
    <row r="247">
      <c r="A247" s="3">
        <f>IF(C247="","",ROW()-1)</f>
        <v/>
      </c>
      <c r="B247" s="4" t="n"/>
      <c r="C247" s="4" t="n"/>
      <c r="D247" s="5" t="n"/>
      <c r="E247" s="5" t="n"/>
      <c r="F247" s="5" t="n"/>
      <c r="G247" s="5" t="n"/>
      <c r="H247" s="5" t="n"/>
      <c r="I247" s="5" t="n"/>
      <c r="J247" s="5" t="n"/>
      <c r="K247" s="6" t="n"/>
      <c r="L247" s="6" t="n"/>
      <c r="M247" s="6" t="n"/>
      <c r="N247" s="5" t="n"/>
      <c r="O247" s="21" t="n"/>
      <c r="P247" s="5" t="n"/>
      <c r="Q247" s="5" t="n"/>
      <c r="R247" s="6" t="n"/>
      <c r="S247" s="4" t="n"/>
      <c r="T247" s="4" t="n"/>
      <c r="U247" s="3">
        <f>IF(C247="","",IF(T247="",TODAY()-C247,T247-C247))</f>
        <v/>
      </c>
      <c r="V247" s="5" t="n"/>
      <c r="W247" s="6" t="n"/>
      <c r="X247" s="3">
        <f>IF(P247="","",IFERROR(VLOOKUP(P247,Parâmetros!$J$2:$K$5,2,FALSE),""))</f>
        <v/>
      </c>
      <c r="Y247" s="4">
        <f>IF(OR(C247="",X247=""),"",C247+X247)</f>
        <v/>
      </c>
      <c r="Z247" s="5">
        <f>IF(C247="","",IF(Q247="Concluído","Concluído",IF(Y247&lt;TODAY(),"Vencido",IF(Y247-TODAY()&lt;=2,"A vencer","No prazo"))))</f>
        <v/>
      </c>
      <c r="AA247" s="3">
        <f>IF(OR(Y247="",Q247="Concluído"),"",Y247-TODAY())</f>
        <v/>
      </c>
      <c r="AB247" s="5" t="n"/>
      <c r="AC247" s="5" t="n"/>
      <c r="AD247" s="4" t="n"/>
    </row>
    <row r="248">
      <c r="A248" s="3">
        <f>IF(C248="","",ROW()-1)</f>
        <v/>
      </c>
      <c r="B248" s="4" t="n"/>
      <c r="C248" s="4" t="n"/>
      <c r="D248" s="5" t="n"/>
      <c r="E248" s="5" t="n"/>
      <c r="F248" s="5" t="n"/>
      <c r="G248" s="5" t="n"/>
      <c r="H248" s="5" t="n"/>
      <c r="I248" s="5" t="n"/>
      <c r="J248" s="5" t="n"/>
      <c r="K248" s="6" t="n"/>
      <c r="L248" s="6" t="n"/>
      <c r="M248" s="6" t="n"/>
      <c r="N248" s="5" t="n"/>
      <c r="O248" s="21" t="n"/>
      <c r="P248" s="5" t="n"/>
      <c r="Q248" s="5" t="n"/>
      <c r="R248" s="6" t="n"/>
      <c r="S248" s="4" t="n"/>
      <c r="T248" s="4" t="n"/>
      <c r="U248" s="3">
        <f>IF(C248="","",IF(T248="",TODAY()-C248,T248-C248))</f>
        <v/>
      </c>
      <c r="V248" s="5" t="n"/>
      <c r="W248" s="6" t="n"/>
      <c r="X248" s="3">
        <f>IF(P248="","",IFERROR(VLOOKUP(P248,Parâmetros!$J$2:$K$5,2,FALSE),""))</f>
        <v/>
      </c>
      <c r="Y248" s="4">
        <f>IF(OR(C248="",X248=""),"",C248+X248)</f>
        <v/>
      </c>
      <c r="Z248" s="5">
        <f>IF(C248="","",IF(Q248="Concluído","Concluído",IF(Y248&lt;TODAY(),"Vencido",IF(Y248-TODAY()&lt;=2,"A vencer","No prazo"))))</f>
        <v/>
      </c>
      <c r="AA248" s="3">
        <f>IF(OR(Y248="",Q248="Concluído"),"",Y248-TODAY())</f>
        <v/>
      </c>
      <c r="AB248" s="5" t="n"/>
      <c r="AC248" s="5" t="n"/>
      <c r="AD248" s="4" t="n"/>
    </row>
    <row r="249">
      <c r="A249" s="3">
        <f>IF(C249="","",ROW()-1)</f>
        <v/>
      </c>
      <c r="B249" s="4" t="n"/>
      <c r="C249" s="4" t="n"/>
      <c r="D249" s="5" t="n"/>
      <c r="E249" s="5" t="n"/>
      <c r="F249" s="5" t="n"/>
      <c r="G249" s="5" t="n"/>
      <c r="H249" s="5" t="n"/>
      <c r="I249" s="5" t="n"/>
      <c r="J249" s="5" t="n"/>
      <c r="K249" s="6" t="n"/>
      <c r="L249" s="6" t="n"/>
      <c r="M249" s="6" t="n"/>
      <c r="N249" s="5" t="n"/>
      <c r="O249" s="21" t="n"/>
      <c r="P249" s="5" t="n"/>
      <c r="Q249" s="5" t="n"/>
      <c r="R249" s="6" t="n"/>
      <c r="S249" s="4" t="n"/>
      <c r="T249" s="4" t="n"/>
      <c r="U249" s="3">
        <f>IF(C249="","",IF(T249="",TODAY()-C249,T249-C249))</f>
        <v/>
      </c>
      <c r="V249" s="5" t="n"/>
      <c r="W249" s="6" t="n"/>
      <c r="X249" s="3">
        <f>IF(P249="","",IFERROR(VLOOKUP(P249,Parâmetros!$J$2:$K$5,2,FALSE),""))</f>
        <v/>
      </c>
      <c r="Y249" s="4">
        <f>IF(OR(C249="",X249=""),"",C249+X249)</f>
        <v/>
      </c>
      <c r="Z249" s="5">
        <f>IF(C249="","",IF(Q249="Concluído","Concluído",IF(Y249&lt;TODAY(),"Vencido",IF(Y249-TODAY()&lt;=2,"A vencer","No prazo"))))</f>
        <v/>
      </c>
      <c r="AA249" s="3">
        <f>IF(OR(Y249="",Q249="Concluído"),"",Y249-TODAY())</f>
        <v/>
      </c>
      <c r="AB249" s="5" t="n"/>
      <c r="AC249" s="5" t="n"/>
      <c r="AD249" s="4" t="n"/>
    </row>
    <row r="250">
      <c r="A250" s="3">
        <f>IF(C250="","",ROW()-1)</f>
        <v/>
      </c>
      <c r="B250" s="4" t="n"/>
      <c r="C250" s="4" t="n"/>
      <c r="D250" s="5" t="n"/>
      <c r="E250" s="5" t="n"/>
      <c r="F250" s="5" t="n"/>
      <c r="G250" s="5" t="n"/>
      <c r="H250" s="5" t="n"/>
      <c r="I250" s="5" t="n"/>
      <c r="J250" s="5" t="n"/>
      <c r="K250" s="6" t="n"/>
      <c r="L250" s="6" t="n"/>
      <c r="M250" s="6" t="n"/>
      <c r="N250" s="5" t="n"/>
      <c r="O250" s="21" t="n"/>
      <c r="P250" s="5" t="n"/>
      <c r="Q250" s="5" t="n"/>
      <c r="R250" s="6" t="n"/>
      <c r="S250" s="4" t="n"/>
      <c r="T250" s="4" t="n"/>
      <c r="U250" s="3">
        <f>IF(C250="","",IF(T250="",TODAY()-C250,T250-C250))</f>
        <v/>
      </c>
      <c r="V250" s="5" t="n"/>
      <c r="W250" s="6" t="n"/>
      <c r="X250" s="3">
        <f>IF(P250="","",IFERROR(VLOOKUP(P250,Parâmetros!$J$2:$K$5,2,FALSE),""))</f>
        <v/>
      </c>
      <c r="Y250" s="4">
        <f>IF(OR(C250="",X250=""),"",C250+X250)</f>
        <v/>
      </c>
      <c r="Z250" s="5">
        <f>IF(C250="","",IF(Q250="Concluído","Concluído",IF(Y250&lt;TODAY(),"Vencido",IF(Y250-TODAY()&lt;=2,"A vencer","No prazo"))))</f>
        <v/>
      </c>
      <c r="AA250" s="3">
        <f>IF(OR(Y250="",Q250="Concluído"),"",Y250-TODAY())</f>
        <v/>
      </c>
      <c r="AB250" s="5" t="n"/>
      <c r="AC250" s="5" t="n"/>
      <c r="AD250" s="4" t="n"/>
    </row>
    <row r="251">
      <c r="A251" s="3">
        <f>IF(C251="","",ROW()-1)</f>
        <v/>
      </c>
      <c r="B251" s="4" t="n"/>
      <c r="C251" s="4" t="n"/>
      <c r="D251" s="5" t="n"/>
      <c r="E251" s="5" t="n"/>
      <c r="F251" s="5" t="n"/>
      <c r="G251" s="5" t="n"/>
      <c r="H251" s="5" t="n"/>
      <c r="I251" s="5" t="n"/>
      <c r="J251" s="5" t="n"/>
      <c r="K251" s="6" t="n"/>
      <c r="L251" s="6" t="n"/>
      <c r="M251" s="6" t="n"/>
      <c r="N251" s="5" t="n"/>
      <c r="O251" s="21" t="n"/>
      <c r="P251" s="5" t="n"/>
      <c r="Q251" s="5" t="n"/>
      <c r="R251" s="6" t="n"/>
      <c r="S251" s="4" t="n"/>
      <c r="T251" s="4" t="n"/>
      <c r="U251" s="3">
        <f>IF(C251="","",IF(T251="",TODAY()-C251,T251-C251))</f>
        <v/>
      </c>
      <c r="V251" s="5" t="n"/>
      <c r="W251" s="6" t="n"/>
      <c r="X251" s="3">
        <f>IF(P251="","",IFERROR(VLOOKUP(P251,Parâmetros!$J$2:$K$5,2,FALSE),""))</f>
        <v/>
      </c>
      <c r="Y251" s="4">
        <f>IF(OR(C251="",X251=""),"",C251+X251)</f>
        <v/>
      </c>
      <c r="Z251" s="5">
        <f>IF(C251="","",IF(Q251="Concluído","Concluído",IF(Y251&lt;TODAY(),"Vencido",IF(Y251-TODAY()&lt;=2,"A vencer","No prazo"))))</f>
        <v/>
      </c>
      <c r="AA251" s="3">
        <f>IF(OR(Y251="",Q251="Concluído"),"",Y251-TODAY())</f>
        <v/>
      </c>
      <c r="AB251" s="5" t="n"/>
      <c r="AC251" s="5" t="n"/>
      <c r="AD251" s="4" t="n"/>
    </row>
    <row r="252">
      <c r="A252" s="3">
        <f>IF(C252="","",ROW()-1)</f>
        <v/>
      </c>
      <c r="B252" s="4" t="n"/>
      <c r="C252" s="4" t="n"/>
      <c r="D252" s="5" t="n"/>
      <c r="E252" s="5" t="n"/>
      <c r="F252" s="5" t="n"/>
      <c r="G252" s="5" t="n"/>
      <c r="H252" s="5" t="n"/>
      <c r="I252" s="5" t="n"/>
      <c r="J252" s="5" t="n"/>
      <c r="K252" s="6" t="n"/>
      <c r="L252" s="6" t="n"/>
      <c r="M252" s="6" t="n"/>
      <c r="N252" s="5" t="n"/>
      <c r="O252" s="21" t="n"/>
      <c r="P252" s="5" t="n"/>
      <c r="Q252" s="5" t="n"/>
      <c r="R252" s="6" t="n"/>
      <c r="S252" s="4" t="n"/>
      <c r="T252" s="4" t="n"/>
      <c r="U252" s="3">
        <f>IF(C252="","",IF(T252="",TODAY()-C252,T252-C252))</f>
        <v/>
      </c>
      <c r="V252" s="5" t="n"/>
      <c r="W252" s="6" t="n"/>
      <c r="X252" s="3">
        <f>IF(P252="","",IFERROR(VLOOKUP(P252,Parâmetros!$J$2:$K$5,2,FALSE),""))</f>
        <v/>
      </c>
      <c r="Y252" s="4">
        <f>IF(OR(C252="",X252=""),"",C252+X252)</f>
        <v/>
      </c>
      <c r="Z252" s="5">
        <f>IF(C252="","",IF(Q252="Concluído","Concluído",IF(Y252&lt;TODAY(),"Vencido",IF(Y252-TODAY()&lt;=2,"A vencer","No prazo"))))</f>
        <v/>
      </c>
      <c r="AA252" s="3">
        <f>IF(OR(Y252="",Q252="Concluído"),"",Y252-TODAY())</f>
        <v/>
      </c>
      <c r="AB252" s="5" t="n"/>
      <c r="AC252" s="5" t="n"/>
      <c r="AD252" s="4" t="n"/>
    </row>
    <row r="253">
      <c r="A253" s="3">
        <f>IF(C253="","",ROW()-1)</f>
        <v/>
      </c>
      <c r="B253" s="4" t="n"/>
      <c r="C253" s="4" t="n"/>
      <c r="D253" s="5" t="n"/>
      <c r="E253" s="5" t="n"/>
      <c r="F253" s="5" t="n"/>
      <c r="G253" s="5" t="n"/>
      <c r="H253" s="5" t="n"/>
      <c r="I253" s="5" t="n"/>
      <c r="J253" s="5" t="n"/>
      <c r="K253" s="6" t="n"/>
      <c r="L253" s="6" t="n"/>
      <c r="M253" s="6" t="n"/>
      <c r="N253" s="5" t="n"/>
      <c r="O253" s="21" t="n"/>
      <c r="P253" s="5" t="n"/>
      <c r="Q253" s="5" t="n"/>
      <c r="R253" s="6" t="n"/>
      <c r="S253" s="4" t="n"/>
      <c r="T253" s="4" t="n"/>
      <c r="U253" s="3">
        <f>IF(C253="","",IF(T253="",TODAY()-C253,T253-C253))</f>
        <v/>
      </c>
      <c r="V253" s="5" t="n"/>
      <c r="W253" s="6" t="n"/>
      <c r="X253" s="3">
        <f>IF(P253="","",IFERROR(VLOOKUP(P253,Parâmetros!$J$2:$K$5,2,FALSE),""))</f>
        <v/>
      </c>
      <c r="Y253" s="4">
        <f>IF(OR(C253="",X253=""),"",C253+X253)</f>
        <v/>
      </c>
      <c r="Z253" s="5">
        <f>IF(C253="","",IF(Q253="Concluído","Concluído",IF(Y253&lt;TODAY(),"Vencido",IF(Y253-TODAY()&lt;=2,"A vencer","No prazo"))))</f>
        <v/>
      </c>
      <c r="AA253" s="3">
        <f>IF(OR(Y253="",Q253="Concluído"),"",Y253-TODAY())</f>
        <v/>
      </c>
      <c r="AB253" s="5" t="n"/>
      <c r="AC253" s="5" t="n"/>
      <c r="AD253" s="4" t="n"/>
    </row>
    <row r="254">
      <c r="A254" s="3">
        <f>IF(C254="","",ROW()-1)</f>
        <v/>
      </c>
      <c r="B254" s="4" t="n"/>
      <c r="C254" s="4" t="n"/>
      <c r="D254" s="5" t="n"/>
      <c r="E254" s="5" t="n"/>
      <c r="F254" s="5" t="n"/>
      <c r="G254" s="5" t="n"/>
      <c r="H254" s="5" t="n"/>
      <c r="I254" s="5" t="n"/>
      <c r="J254" s="5" t="n"/>
      <c r="K254" s="6" t="n"/>
      <c r="L254" s="6" t="n"/>
      <c r="M254" s="6" t="n"/>
      <c r="N254" s="5" t="n"/>
      <c r="O254" s="21" t="n"/>
      <c r="P254" s="5" t="n"/>
      <c r="Q254" s="5" t="n"/>
      <c r="R254" s="6" t="n"/>
      <c r="S254" s="4" t="n"/>
      <c r="T254" s="4" t="n"/>
      <c r="U254" s="3">
        <f>IF(C254="","",IF(T254="",TODAY()-C254,T254-C254))</f>
        <v/>
      </c>
      <c r="V254" s="5" t="n"/>
      <c r="W254" s="6" t="n"/>
      <c r="X254" s="3">
        <f>IF(P254="","",IFERROR(VLOOKUP(P254,Parâmetros!$J$2:$K$5,2,FALSE),""))</f>
        <v/>
      </c>
      <c r="Y254" s="4">
        <f>IF(OR(C254="",X254=""),"",C254+X254)</f>
        <v/>
      </c>
      <c r="Z254" s="5">
        <f>IF(C254="","",IF(Q254="Concluído","Concluído",IF(Y254&lt;TODAY(),"Vencido",IF(Y254-TODAY()&lt;=2,"A vencer","No prazo"))))</f>
        <v/>
      </c>
      <c r="AA254" s="3">
        <f>IF(OR(Y254="",Q254="Concluído"),"",Y254-TODAY())</f>
        <v/>
      </c>
      <c r="AB254" s="5" t="n"/>
      <c r="AC254" s="5" t="n"/>
      <c r="AD254" s="4" t="n"/>
    </row>
    <row r="255">
      <c r="A255" s="3">
        <f>IF(C255="","",ROW()-1)</f>
        <v/>
      </c>
      <c r="B255" s="4" t="n"/>
      <c r="C255" s="4" t="n"/>
      <c r="D255" s="5" t="n"/>
      <c r="E255" s="5" t="n"/>
      <c r="F255" s="5" t="n"/>
      <c r="G255" s="5" t="n"/>
      <c r="H255" s="5" t="n"/>
      <c r="I255" s="5" t="n"/>
      <c r="J255" s="5" t="n"/>
      <c r="K255" s="6" t="n"/>
      <c r="L255" s="6" t="n"/>
      <c r="M255" s="6" t="n"/>
      <c r="N255" s="5" t="n"/>
      <c r="O255" s="21" t="n"/>
      <c r="P255" s="5" t="n"/>
      <c r="Q255" s="5" t="n"/>
      <c r="R255" s="6" t="n"/>
      <c r="S255" s="4" t="n"/>
      <c r="T255" s="4" t="n"/>
      <c r="U255" s="3">
        <f>IF(C255="","",IF(T255="",TODAY()-C255,T255-C255))</f>
        <v/>
      </c>
      <c r="V255" s="5" t="n"/>
      <c r="W255" s="6" t="n"/>
      <c r="X255" s="3">
        <f>IF(P255="","",IFERROR(VLOOKUP(P255,Parâmetros!$J$2:$K$5,2,FALSE),""))</f>
        <v/>
      </c>
      <c r="Y255" s="4">
        <f>IF(OR(C255="",X255=""),"",C255+X255)</f>
        <v/>
      </c>
      <c r="Z255" s="5">
        <f>IF(C255="","",IF(Q255="Concluído","Concluído",IF(Y255&lt;TODAY(),"Vencido",IF(Y255-TODAY()&lt;=2,"A vencer","No prazo"))))</f>
        <v/>
      </c>
      <c r="AA255" s="3">
        <f>IF(OR(Y255="",Q255="Concluído"),"",Y255-TODAY())</f>
        <v/>
      </c>
      <c r="AB255" s="5" t="n"/>
      <c r="AC255" s="5" t="n"/>
      <c r="AD255" s="4" t="n"/>
    </row>
    <row r="256">
      <c r="A256" s="3">
        <f>IF(C256="","",ROW()-1)</f>
        <v/>
      </c>
      <c r="B256" s="4" t="n"/>
      <c r="C256" s="4" t="n"/>
      <c r="D256" s="5" t="n"/>
      <c r="E256" s="5" t="n"/>
      <c r="F256" s="5" t="n"/>
      <c r="G256" s="5" t="n"/>
      <c r="H256" s="5" t="n"/>
      <c r="I256" s="5" t="n"/>
      <c r="J256" s="5" t="n"/>
      <c r="K256" s="6" t="n"/>
      <c r="L256" s="6" t="n"/>
      <c r="M256" s="6" t="n"/>
      <c r="N256" s="5" t="n"/>
      <c r="O256" s="21" t="n"/>
      <c r="P256" s="5" t="n"/>
      <c r="Q256" s="5" t="n"/>
      <c r="R256" s="6" t="n"/>
      <c r="S256" s="4" t="n"/>
      <c r="T256" s="4" t="n"/>
      <c r="U256" s="3">
        <f>IF(C256="","",IF(T256="",TODAY()-C256,T256-C256))</f>
        <v/>
      </c>
      <c r="V256" s="5" t="n"/>
      <c r="W256" s="6" t="n"/>
      <c r="X256" s="3">
        <f>IF(P256="","",IFERROR(VLOOKUP(P256,Parâmetros!$J$2:$K$5,2,FALSE),""))</f>
        <v/>
      </c>
      <c r="Y256" s="4">
        <f>IF(OR(C256="",X256=""),"",C256+X256)</f>
        <v/>
      </c>
      <c r="Z256" s="5">
        <f>IF(C256="","",IF(Q256="Concluído","Concluído",IF(Y256&lt;TODAY(),"Vencido",IF(Y256-TODAY()&lt;=2,"A vencer","No prazo"))))</f>
        <v/>
      </c>
      <c r="AA256" s="3">
        <f>IF(OR(Y256="",Q256="Concluído"),"",Y256-TODAY())</f>
        <v/>
      </c>
      <c r="AB256" s="5" t="n"/>
      <c r="AC256" s="5" t="n"/>
      <c r="AD256" s="4" t="n"/>
    </row>
    <row r="257">
      <c r="A257" s="3">
        <f>IF(C257="","",ROW()-1)</f>
        <v/>
      </c>
      <c r="B257" s="4" t="n"/>
      <c r="C257" s="4" t="n"/>
      <c r="D257" s="5" t="n"/>
      <c r="E257" s="5" t="n"/>
      <c r="F257" s="5" t="n"/>
      <c r="G257" s="5" t="n"/>
      <c r="H257" s="5" t="n"/>
      <c r="I257" s="5" t="n"/>
      <c r="J257" s="5" t="n"/>
      <c r="K257" s="6" t="n"/>
      <c r="L257" s="6" t="n"/>
      <c r="M257" s="6" t="n"/>
      <c r="N257" s="5" t="n"/>
      <c r="O257" s="21" t="n"/>
      <c r="P257" s="5" t="n"/>
      <c r="Q257" s="5" t="n"/>
      <c r="R257" s="6" t="n"/>
      <c r="S257" s="4" t="n"/>
      <c r="T257" s="4" t="n"/>
      <c r="U257" s="3">
        <f>IF(C257="","",IF(T257="",TODAY()-C257,T257-C257))</f>
        <v/>
      </c>
      <c r="V257" s="5" t="n"/>
      <c r="W257" s="6" t="n"/>
      <c r="X257" s="3">
        <f>IF(P257="","",IFERROR(VLOOKUP(P257,Parâmetros!$J$2:$K$5,2,FALSE),""))</f>
        <v/>
      </c>
      <c r="Y257" s="4">
        <f>IF(OR(C257="",X257=""),"",C257+X257)</f>
        <v/>
      </c>
      <c r="Z257" s="5">
        <f>IF(C257="","",IF(Q257="Concluído","Concluído",IF(Y257&lt;TODAY(),"Vencido",IF(Y257-TODAY()&lt;=2,"A vencer","No prazo"))))</f>
        <v/>
      </c>
      <c r="AA257" s="3">
        <f>IF(OR(Y257="",Q257="Concluído"),"",Y257-TODAY())</f>
        <v/>
      </c>
      <c r="AB257" s="5" t="n"/>
      <c r="AC257" s="5" t="n"/>
      <c r="AD257" s="4" t="n"/>
    </row>
    <row r="258">
      <c r="A258" s="3">
        <f>IF(C258="","",ROW()-1)</f>
        <v/>
      </c>
      <c r="B258" s="4" t="n"/>
      <c r="C258" s="4" t="n"/>
      <c r="D258" s="5" t="n"/>
      <c r="E258" s="5" t="n"/>
      <c r="F258" s="5" t="n"/>
      <c r="G258" s="5" t="n"/>
      <c r="H258" s="5" t="n"/>
      <c r="I258" s="5" t="n"/>
      <c r="J258" s="5" t="n"/>
      <c r="K258" s="6" t="n"/>
      <c r="L258" s="6" t="n"/>
      <c r="M258" s="6" t="n"/>
      <c r="N258" s="5" t="n"/>
      <c r="O258" s="21" t="n"/>
      <c r="P258" s="5" t="n"/>
      <c r="Q258" s="5" t="n"/>
      <c r="R258" s="6" t="n"/>
      <c r="S258" s="4" t="n"/>
      <c r="T258" s="4" t="n"/>
      <c r="U258" s="3">
        <f>IF(C258="","",IF(T258="",TODAY()-C258,T258-C258))</f>
        <v/>
      </c>
      <c r="V258" s="5" t="n"/>
      <c r="W258" s="6" t="n"/>
      <c r="X258" s="3">
        <f>IF(P258="","",IFERROR(VLOOKUP(P258,Parâmetros!$J$2:$K$5,2,FALSE),""))</f>
        <v/>
      </c>
      <c r="Y258" s="4">
        <f>IF(OR(C258="",X258=""),"",C258+X258)</f>
        <v/>
      </c>
      <c r="Z258" s="5">
        <f>IF(C258="","",IF(Q258="Concluído","Concluído",IF(Y258&lt;TODAY(),"Vencido",IF(Y258-TODAY()&lt;=2,"A vencer","No prazo"))))</f>
        <v/>
      </c>
      <c r="AA258" s="3">
        <f>IF(OR(Y258="",Q258="Concluído"),"",Y258-TODAY())</f>
        <v/>
      </c>
      <c r="AB258" s="5" t="n"/>
      <c r="AC258" s="5" t="n"/>
      <c r="AD258" s="4" t="n"/>
    </row>
    <row r="259">
      <c r="A259" s="3">
        <f>IF(C259="","",ROW()-1)</f>
        <v/>
      </c>
      <c r="B259" s="4" t="n"/>
      <c r="C259" s="4" t="n"/>
      <c r="D259" s="5" t="n"/>
      <c r="E259" s="5" t="n"/>
      <c r="F259" s="5" t="n"/>
      <c r="G259" s="5" t="n"/>
      <c r="H259" s="5" t="n"/>
      <c r="I259" s="5" t="n"/>
      <c r="J259" s="5" t="n"/>
      <c r="K259" s="6" t="n"/>
      <c r="L259" s="6" t="n"/>
      <c r="M259" s="6" t="n"/>
      <c r="N259" s="5" t="n"/>
      <c r="O259" s="21" t="n"/>
      <c r="P259" s="5" t="n"/>
      <c r="Q259" s="5" t="n"/>
      <c r="R259" s="6" t="n"/>
      <c r="S259" s="4" t="n"/>
      <c r="T259" s="4" t="n"/>
      <c r="U259" s="3">
        <f>IF(C259="","",IF(T259="",TODAY()-C259,T259-C259))</f>
        <v/>
      </c>
      <c r="V259" s="5" t="n"/>
      <c r="W259" s="6" t="n"/>
      <c r="X259" s="3">
        <f>IF(P259="","",IFERROR(VLOOKUP(P259,Parâmetros!$J$2:$K$5,2,FALSE),""))</f>
        <v/>
      </c>
      <c r="Y259" s="4">
        <f>IF(OR(C259="",X259=""),"",C259+X259)</f>
        <v/>
      </c>
      <c r="Z259" s="5">
        <f>IF(C259="","",IF(Q259="Concluído","Concluído",IF(Y259&lt;TODAY(),"Vencido",IF(Y259-TODAY()&lt;=2,"A vencer","No prazo"))))</f>
        <v/>
      </c>
      <c r="AA259" s="3">
        <f>IF(OR(Y259="",Q259="Concluído"),"",Y259-TODAY())</f>
        <v/>
      </c>
      <c r="AB259" s="5" t="n"/>
      <c r="AC259" s="5" t="n"/>
      <c r="AD259" s="4" t="n"/>
    </row>
    <row r="260">
      <c r="A260" s="3">
        <f>IF(C260="","",ROW()-1)</f>
        <v/>
      </c>
      <c r="B260" s="4" t="n"/>
      <c r="C260" s="4" t="n"/>
      <c r="D260" s="5" t="n"/>
      <c r="E260" s="5" t="n"/>
      <c r="F260" s="5" t="n"/>
      <c r="G260" s="5" t="n"/>
      <c r="H260" s="5" t="n"/>
      <c r="I260" s="5" t="n"/>
      <c r="J260" s="5" t="n"/>
      <c r="K260" s="6" t="n"/>
      <c r="L260" s="6" t="n"/>
      <c r="M260" s="6" t="n"/>
      <c r="N260" s="5" t="n"/>
      <c r="O260" s="21" t="n"/>
      <c r="P260" s="5" t="n"/>
      <c r="Q260" s="5" t="n"/>
      <c r="R260" s="6" t="n"/>
      <c r="S260" s="4" t="n"/>
      <c r="T260" s="4" t="n"/>
      <c r="U260" s="3">
        <f>IF(C260="","",IF(T260="",TODAY()-C260,T260-C260))</f>
        <v/>
      </c>
      <c r="V260" s="5" t="n"/>
      <c r="W260" s="6" t="n"/>
      <c r="X260" s="3">
        <f>IF(P260="","",IFERROR(VLOOKUP(P260,Parâmetros!$J$2:$K$5,2,FALSE),""))</f>
        <v/>
      </c>
      <c r="Y260" s="4">
        <f>IF(OR(C260="",X260=""),"",C260+X260)</f>
        <v/>
      </c>
      <c r="Z260" s="5">
        <f>IF(C260="","",IF(Q260="Concluído","Concluído",IF(Y260&lt;TODAY(),"Vencido",IF(Y260-TODAY()&lt;=2,"A vencer","No prazo"))))</f>
        <v/>
      </c>
      <c r="AA260" s="3">
        <f>IF(OR(Y260="",Q260="Concluído"),"",Y260-TODAY())</f>
        <v/>
      </c>
      <c r="AB260" s="5" t="n"/>
      <c r="AC260" s="5" t="n"/>
      <c r="AD260" s="4" t="n"/>
    </row>
    <row r="261">
      <c r="A261" s="3">
        <f>IF(C261="","",ROW()-1)</f>
        <v/>
      </c>
      <c r="B261" s="4" t="n"/>
      <c r="C261" s="4" t="n"/>
      <c r="D261" s="5" t="n"/>
      <c r="E261" s="5" t="n"/>
      <c r="F261" s="5" t="n"/>
      <c r="G261" s="5" t="n"/>
      <c r="H261" s="5" t="n"/>
      <c r="I261" s="5" t="n"/>
      <c r="J261" s="5" t="n"/>
      <c r="K261" s="6" t="n"/>
      <c r="L261" s="6" t="n"/>
      <c r="M261" s="6" t="n"/>
      <c r="N261" s="5" t="n"/>
      <c r="O261" s="21" t="n"/>
      <c r="P261" s="5" t="n"/>
      <c r="Q261" s="5" t="n"/>
      <c r="R261" s="6" t="n"/>
      <c r="S261" s="4" t="n"/>
      <c r="T261" s="4" t="n"/>
      <c r="U261" s="3">
        <f>IF(C261="","",IF(T261="",TODAY()-C261,T261-C261))</f>
        <v/>
      </c>
      <c r="V261" s="5" t="n"/>
      <c r="W261" s="6" t="n"/>
      <c r="X261" s="3">
        <f>IF(P261="","",IFERROR(VLOOKUP(P261,Parâmetros!$J$2:$K$5,2,FALSE),""))</f>
        <v/>
      </c>
      <c r="Y261" s="4">
        <f>IF(OR(C261="",X261=""),"",C261+X261)</f>
        <v/>
      </c>
      <c r="Z261" s="5">
        <f>IF(C261="","",IF(Q261="Concluído","Concluído",IF(Y261&lt;TODAY(),"Vencido",IF(Y261-TODAY()&lt;=2,"A vencer","No prazo"))))</f>
        <v/>
      </c>
      <c r="AA261" s="3">
        <f>IF(OR(Y261="",Q261="Concluído"),"",Y261-TODAY())</f>
        <v/>
      </c>
      <c r="AB261" s="5" t="n"/>
      <c r="AC261" s="5" t="n"/>
      <c r="AD261" s="4" t="n"/>
    </row>
    <row r="262">
      <c r="A262" s="3">
        <f>IF(C262="","",ROW()-1)</f>
        <v/>
      </c>
      <c r="B262" s="4" t="n"/>
      <c r="C262" s="4" t="n"/>
      <c r="D262" s="5" t="n"/>
      <c r="E262" s="5" t="n"/>
      <c r="F262" s="5" t="n"/>
      <c r="G262" s="5" t="n"/>
      <c r="H262" s="5" t="n"/>
      <c r="I262" s="5" t="n"/>
      <c r="J262" s="5" t="n"/>
      <c r="K262" s="6" t="n"/>
      <c r="L262" s="6" t="n"/>
      <c r="M262" s="6" t="n"/>
      <c r="N262" s="5" t="n"/>
      <c r="O262" s="21" t="n"/>
      <c r="P262" s="5" t="n"/>
      <c r="Q262" s="5" t="n"/>
      <c r="R262" s="6" t="n"/>
      <c r="S262" s="4" t="n"/>
      <c r="T262" s="4" t="n"/>
      <c r="U262" s="3">
        <f>IF(C262="","",IF(T262="",TODAY()-C262,T262-C262))</f>
        <v/>
      </c>
      <c r="V262" s="5" t="n"/>
      <c r="W262" s="6" t="n"/>
      <c r="X262" s="3">
        <f>IF(P262="","",IFERROR(VLOOKUP(P262,Parâmetros!$J$2:$K$5,2,FALSE),""))</f>
        <v/>
      </c>
      <c r="Y262" s="4">
        <f>IF(OR(C262="",X262=""),"",C262+X262)</f>
        <v/>
      </c>
      <c r="Z262" s="5">
        <f>IF(C262="","",IF(Q262="Concluído","Concluído",IF(Y262&lt;TODAY(),"Vencido",IF(Y262-TODAY()&lt;=2,"A vencer","No prazo"))))</f>
        <v/>
      </c>
      <c r="AA262" s="3">
        <f>IF(OR(Y262="",Q262="Concluído"),"",Y262-TODAY())</f>
        <v/>
      </c>
      <c r="AB262" s="5" t="n"/>
      <c r="AC262" s="5" t="n"/>
      <c r="AD262" s="4" t="n"/>
    </row>
    <row r="263">
      <c r="A263" s="3">
        <f>IF(C263="","",ROW()-1)</f>
        <v/>
      </c>
      <c r="B263" s="4" t="n"/>
      <c r="C263" s="4" t="n"/>
      <c r="D263" s="5" t="n"/>
      <c r="E263" s="5" t="n"/>
      <c r="F263" s="5" t="n"/>
      <c r="G263" s="5" t="n"/>
      <c r="H263" s="5" t="n"/>
      <c r="I263" s="5" t="n"/>
      <c r="J263" s="5" t="n"/>
      <c r="K263" s="6" t="n"/>
      <c r="L263" s="6" t="n"/>
      <c r="M263" s="6" t="n"/>
      <c r="N263" s="5" t="n"/>
      <c r="O263" s="21" t="n"/>
      <c r="P263" s="5" t="n"/>
      <c r="Q263" s="5" t="n"/>
      <c r="R263" s="6" t="n"/>
      <c r="S263" s="4" t="n"/>
      <c r="T263" s="4" t="n"/>
      <c r="U263" s="3">
        <f>IF(C263="","",IF(T263="",TODAY()-C263,T263-C263))</f>
        <v/>
      </c>
      <c r="V263" s="5" t="n"/>
      <c r="W263" s="6" t="n"/>
      <c r="X263" s="3">
        <f>IF(P263="","",IFERROR(VLOOKUP(P263,Parâmetros!$J$2:$K$5,2,FALSE),""))</f>
        <v/>
      </c>
      <c r="Y263" s="4">
        <f>IF(OR(C263="",X263=""),"",C263+X263)</f>
        <v/>
      </c>
      <c r="Z263" s="5">
        <f>IF(C263="","",IF(Q263="Concluído","Concluído",IF(Y263&lt;TODAY(),"Vencido",IF(Y263-TODAY()&lt;=2,"A vencer","No prazo"))))</f>
        <v/>
      </c>
      <c r="AA263" s="3">
        <f>IF(OR(Y263="",Q263="Concluído"),"",Y263-TODAY())</f>
        <v/>
      </c>
      <c r="AB263" s="5" t="n"/>
      <c r="AC263" s="5" t="n"/>
      <c r="AD263" s="4" t="n"/>
    </row>
    <row r="264">
      <c r="A264" s="3">
        <f>IF(C264="","",ROW()-1)</f>
        <v/>
      </c>
      <c r="B264" s="4" t="n"/>
      <c r="C264" s="4" t="n"/>
      <c r="D264" s="5" t="n"/>
      <c r="E264" s="5" t="n"/>
      <c r="F264" s="5" t="n"/>
      <c r="G264" s="5" t="n"/>
      <c r="H264" s="5" t="n"/>
      <c r="I264" s="5" t="n"/>
      <c r="J264" s="5" t="n"/>
      <c r="K264" s="6" t="n"/>
      <c r="L264" s="6" t="n"/>
      <c r="M264" s="6" t="n"/>
      <c r="N264" s="5" t="n"/>
      <c r="O264" s="21" t="n"/>
      <c r="P264" s="5" t="n"/>
      <c r="Q264" s="5" t="n"/>
      <c r="R264" s="6" t="n"/>
      <c r="S264" s="4" t="n"/>
      <c r="T264" s="4" t="n"/>
      <c r="U264" s="3">
        <f>IF(C264="","",IF(T264="",TODAY()-C264,T264-C264))</f>
        <v/>
      </c>
      <c r="V264" s="5" t="n"/>
      <c r="W264" s="6" t="n"/>
      <c r="X264" s="3">
        <f>IF(P264="","",IFERROR(VLOOKUP(P264,Parâmetros!$J$2:$K$5,2,FALSE),""))</f>
        <v/>
      </c>
      <c r="Y264" s="4">
        <f>IF(OR(C264="",X264=""),"",C264+X264)</f>
        <v/>
      </c>
      <c r="Z264" s="5">
        <f>IF(C264="","",IF(Q264="Concluído","Concluído",IF(Y264&lt;TODAY(),"Vencido",IF(Y264-TODAY()&lt;=2,"A vencer","No prazo"))))</f>
        <v/>
      </c>
      <c r="AA264" s="3">
        <f>IF(OR(Y264="",Q264="Concluído"),"",Y264-TODAY())</f>
        <v/>
      </c>
      <c r="AB264" s="5" t="n"/>
      <c r="AC264" s="5" t="n"/>
      <c r="AD264" s="4" t="n"/>
    </row>
    <row r="265">
      <c r="A265" s="3">
        <f>IF(C265="","",ROW()-1)</f>
        <v/>
      </c>
      <c r="B265" s="4" t="n"/>
      <c r="C265" s="4" t="n"/>
      <c r="D265" s="5" t="n"/>
      <c r="E265" s="5" t="n"/>
      <c r="F265" s="5" t="n"/>
      <c r="G265" s="5" t="n"/>
      <c r="H265" s="5" t="n"/>
      <c r="I265" s="5" t="n"/>
      <c r="J265" s="5" t="n"/>
      <c r="K265" s="6" t="n"/>
      <c r="L265" s="6" t="n"/>
      <c r="M265" s="6" t="n"/>
      <c r="N265" s="5" t="n"/>
      <c r="O265" s="21" t="n"/>
      <c r="P265" s="5" t="n"/>
      <c r="Q265" s="5" t="n"/>
      <c r="R265" s="6" t="n"/>
      <c r="S265" s="4" t="n"/>
      <c r="T265" s="4" t="n"/>
      <c r="U265" s="3">
        <f>IF(C265="","",IF(T265="",TODAY()-C265,T265-C265))</f>
        <v/>
      </c>
      <c r="V265" s="5" t="n"/>
      <c r="W265" s="6" t="n"/>
      <c r="X265" s="3">
        <f>IF(P265="","",IFERROR(VLOOKUP(P265,Parâmetros!$J$2:$K$5,2,FALSE),""))</f>
        <v/>
      </c>
      <c r="Y265" s="4">
        <f>IF(OR(C265="",X265=""),"",C265+X265)</f>
        <v/>
      </c>
      <c r="Z265" s="5">
        <f>IF(C265="","",IF(Q265="Concluído","Concluído",IF(Y265&lt;TODAY(),"Vencido",IF(Y265-TODAY()&lt;=2,"A vencer","No prazo"))))</f>
        <v/>
      </c>
      <c r="AA265" s="3">
        <f>IF(OR(Y265="",Q265="Concluído"),"",Y265-TODAY())</f>
        <v/>
      </c>
      <c r="AB265" s="5" t="n"/>
      <c r="AC265" s="5" t="n"/>
      <c r="AD265" s="4" t="n"/>
    </row>
    <row r="266">
      <c r="A266" s="3">
        <f>IF(C266="","",ROW()-1)</f>
        <v/>
      </c>
      <c r="B266" s="4" t="n"/>
      <c r="C266" s="4" t="n"/>
      <c r="D266" s="5" t="n"/>
      <c r="E266" s="5" t="n"/>
      <c r="F266" s="5" t="n"/>
      <c r="G266" s="5" t="n"/>
      <c r="H266" s="5" t="n"/>
      <c r="I266" s="5" t="n"/>
      <c r="J266" s="5" t="n"/>
      <c r="K266" s="6" t="n"/>
      <c r="L266" s="6" t="n"/>
      <c r="M266" s="6" t="n"/>
      <c r="N266" s="5" t="n"/>
      <c r="O266" s="21" t="n"/>
      <c r="P266" s="5" t="n"/>
      <c r="Q266" s="5" t="n"/>
      <c r="R266" s="6" t="n"/>
      <c r="S266" s="4" t="n"/>
      <c r="T266" s="4" t="n"/>
      <c r="U266" s="3">
        <f>IF(C266="","",IF(T266="",TODAY()-C266,T266-C266))</f>
        <v/>
      </c>
      <c r="V266" s="5" t="n"/>
      <c r="W266" s="6" t="n"/>
      <c r="X266" s="3">
        <f>IF(P266="","",IFERROR(VLOOKUP(P266,Parâmetros!$J$2:$K$5,2,FALSE),""))</f>
        <v/>
      </c>
      <c r="Y266" s="4">
        <f>IF(OR(C266="",X266=""),"",C266+X266)</f>
        <v/>
      </c>
      <c r="Z266" s="5">
        <f>IF(C266="","",IF(Q266="Concluído","Concluído",IF(Y266&lt;TODAY(),"Vencido",IF(Y266-TODAY()&lt;=2,"A vencer","No prazo"))))</f>
        <v/>
      </c>
      <c r="AA266" s="3">
        <f>IF(OR(Y266="",Q266="Concluído"),"",Y266-TODAY())</f>
        <v/>
      </c>
      <c r="AB266" s="5" t="n"/>
      <c r="AC266" s="5" t="n"/>
      <c r="AD266" s="4" t="n"/>
    </row>
    <row r="267">
      <c r="A267" s="3">
        <f>IF(C267="","",ROW()-1)</f>
        <v/>
      </c>
      <c r="B267" s="4" t="n"/>
      <c r="C267" s="4" t="n"/>
      <c r="D267" s="5" t="n"/>
      <c r="E267" s="5" t="n"/>
      <c r="F267" s="5" t="n"/>
      <c r="G267" s="5" t="n"/>
      <c r="H267" s="5" t="n"/>
      <c r="I267" s="5" t="n"/>
      <c r="J267" s="5" t="n"/>
      <c r="K267" s="6" t="n"/>
      <c r="L267" s="6" t="n"/>
      <c r="M267" s="6" t="n"/>
      <c r="N267" s="5" t="n"/>
      <c r="O267" s="21" t="n"/>
      <c r="P267" s="5" t="n"/>
      <c r="Q267" s="5" t="n"/>
      <c r="R267" s="6" t="n"/>
      <c r="S267" s="4" t="n"/>
      <c r="T267" s="4" t="n"/>
      <c r="U267" s="3">
        <f>IF(C267="","",IF(T267="",TODAY()-C267,T267-C267))</f>
        <v/>
      </c>
      <c r="V267" s="5" t="n"/>
      <c r="W267" s="6" t="n"/>
      <c r="X267" s="3">
        <f>IF(P267="","",IFERROR(VLOOKUP(P267,Parâmetros!$J$2:$K$5,2,FALSE),""))</f>
        <v/>
      </c>
      <c r="Y267" s="4">
        <f>IF(OR(C267="",X267=""),"",C267+X267)</f>
        <v/>
      </c>
      <c r="Z267" s="5">
        <f>IF(C267="","",IF(Q267="Concluído","Concluído",IF(Y267&lt;TODAY(),"Vencido",IF(Y267-TODAY()&lt;=2,"A vencer","No prazo"))))</f>
        <v/>
      </c>
      <c r="AA267" s="3">
        <f>IF(OR(Y267="",Q267="Concluído"),"",Y267-TODAY())</f>
        <v/>
      </c>
      <c r="AB267" s="5" t="n"/>
      <c r="AC267" s="5" t="n"/>
      <c r="AD267" s="4" t="n"/>
    </row>
    <row r="268">
      <c r="A268" s="3">
        <f>IF(C268="","",ROW()-1)</f>
        <v/>
      </c>
      <c r="B268" s="4" t="n"/>
      <c r="C268" s="4" t="n"/>
      <c r="D268" s="5" t="n"/>
      <c r="E268" s="5" t="n"/>
      <c r="F268" s="5" t="n"/>
      <c r="G268" s="5" t="n"/>
      <c r="H268" s="5" t="n"/>
      <c r="I268" s="5" t="n"/>
      <c r="J268" s="5" t="n"/>
      <c r="K268" s="6" t="n"/>
      <c r="L268" s="6" t="n"/>
      <c r="M268" s="6" t="n"/>
      <c r="N268" s="5" t="n"/>
      <c r="O268" s="21" t="n"/>
      <c r="P268" s="5" t="n"/>
      <c r="Q268" s="5" t="n"/>
      <c r="R268" s="6" t="n"/>
      <c r="S268" s="4" t="n"/>
      <c r="T268" s="4" t="n"/>
      <c r="U268" s="3">
        <f>IF(C268="","",IF(T268="",TODAY()-C268,T268-C268))</f>
        <v/>
      </c>
      <c r="V268" s="5" t="n"/>
      <c r="W268" s="6" t="n"/>
      <c r="X268" s="3">
        <f>IF(P268="","",IFERROR(VLOOKUP(P268,Parâmetros!$J$2:$K$5,2,FALSE),""))</f>
        <v/>
      </c>
      <c r="Y268" s="4">
        <f>IF(OR(C268="",X268=""),"",C268+X268)</f>
        <v/>
      </c>
      <c r="Z268" s="5">
        <f>IF(C268="","",IF(Q268="Concluído","Concluído",IF(Y268&lt;TODAY(),"Vencido",IF(Y268-TODAY()&lt;=2,"A vencer","No prazo"))))</f>
        <v/>
      </c>
      <c r="AA268" s="3">
        <f>IF(OR(Y268="",Q268="Concluído"),"",Y268-TODAY())</f>
        <v/>
      </c>
      <c r="AB268" s="5" t="n"/>
      <c r="AC268" s="5" t="n"/>
      <c r="AD268" s="4" t="n"/>
    </row>
    <row r="269">
      <c r="A269" s="3">
        <f>IF(C269="","",ROW()-1)</f>
        <v/>
      </c>
      <c r="B269" s="4" t="n"/>
      <c r="C269" s="4" t="n"/>
      <c r="D269" s="5" t="n"/>
      <c r="E269" s="5" t="n"/>
      <c r="F269" s="5" t="n"/>
      <c r="G269" s="5" t="n"/>
      <c r="H269" s="5" t="n"/>
      <c r="I269" s="5" t="n"/>
      <c r="J269" s="5" t="n"/>
      <c r="K269" s="6" t="n"/>
      <c r="L269" s="6" t="n"/>
      <c r="M269" s="6" t="n"/>
      <c r="N269" s="5" t="n"/>
      <c r="O269" s="21" t="n"/>
      <c r="P269" s="5" t="n"/>
      <c r="Q269" s="5" t="n"/>
      <c r="R269" s="6" t="n"/>
      <c r="S269" s="4" t="n"/>
      <c r="T269" s="4" t="n"/>
      <c r="U269" s="3">
        <f>IF(C269="","",IF(T269="",TODAY()-C269,T269-C269))</f>
        <v/>
      </c>
      <c r="V269" s="5" t="n"/>
      <c r="W269" s="6" t="n"/>
      <c r="X269" s="3">
        <f>IF(P269="","",IFERROR(VLOOKUP(P269,Parâmetros!$J$2:$K$5,2,FALSE),""))</f>
        <v/>
      </c>
      <c r="Y269" s="4">
        <f>IF(OR(C269="",X269=""),"",C269+X269)</f>
        <v/>
      </c>
      <c r="Z269" s="5">
        <f>IF(C269="","",IF(Q269="Concluído","Concluído",IF(Y269&lt;TODAY(),"Vencido",IF(Y269-TODAY()&lt;=2,"A vencer","No prazo"))))</f>
        <v/>
      </c>
      <c r="AA269" s="3">
        <f>IF(OR(Y269="",Q269="Concluído"),"",Y269-TODAY())</f>
        <v/>
      </c>
      <c r="AB269" s="5" t="n"/>
      <c r="AC269" s="5" t="n"/>
      <c r="AD269" s="4" t="n"/>
    </row>
    <row r="270">
      <c r="A270" s="3">
        <f>IF(C270="","",ROW()-1)</f>
        <v/>
      </c>
      <c r="B270" s="4" t="n"/>
      <c r="C270" s="4" t="n"/>
      <c r="D270" s="5" t="n"/>
      <c r="E270" s="5" t="n"/>
      <c r="F270" s="5" t="n"/>
      <c r="G270" s="5" t="n"/>
      <c r="H270" s="5" t="n"/>
      <c r="I270" s="5" t="n"/>
      <c r="J270" s="5" t="n"/>
      <c r="K270" s="6" t="n"/>
      <c r="L270" s="6" t="n"/>
      <c r="M270" s="6" t="n"/>
      <c r="N270" s="5" t="n"/>
      <c r="O270" s="21" t="n"/>
      <c r="P270" s="5" t="n"/>
      <c r="Q270" s="5" t="n"/>
      <c r="R270" s="6" t="n"/>
      <c r="S270" s="4" t="n"/>
      <c r="T270" s="4" t="n"/>
      <c r="U270" s="3">
        <f>IF(C270="","",IF(T270="",TODAY()-C270,T270-C270))</f>
        <v/>
      </c>
      <c r="V270" s="5" t="n"/>
      <c r="W270" s="6" t="n"/>
      <c r="X270" s="3">
        <f>IF(P270="","",IFERROR(VLOOKUP(P270,Parâmetros!$J$2:$K$5,2,FALSE),""))</f>
        <v/>
      </c>
      <c r="Y270" s="4">
        <f>IF(OR(C270="",X270=""),"",C270+X270)</f>
        <v/>
      </c>
      <c r="Z270" s="5">
        <f>IF(C270="","",IF(Q270="Concluído","Concluído",IF(Y270&lt;TODAY(),"Vencido",IF(Y270-TODAY()&lt;=2,"A vencer","No prazo"))))</f>
        <v/>
      </c>
      <c r="AA270" s="3">
        <f>IF(OR(Y270="",Q270="Concluído"),"",Y270-TODAY())</f>
        <v/>
      </c>
      <c r="AB270" s="5" t="n"/>
      <c r="AC270" s="5" t="n"/>
      <c r="AD270" s="4" t="n"/>
    </row>
    <row r="271">
      <c r="A271" s="3">
        <f>IF(C271="","",ROW()-1)</f>
        <v/>
      </c>
      <c r="B271" s="4" t="n"/>
      <c r="C271" s="4" t="n"/>
      <c r="D271" s="5" t="n"/>
      <c r="E271" s="5" t="n"/>
      <c r="F271" s="5" t="n"/>
      <c r="G271" s="5" t="n"/>
      <c r="H271" s="5" t="n"/>
      <c r="I271" s="5" t="n"/>
      <c r="J271" s="5" t="n"/>
      <c r="K271" s="6" t="n"/>
      <c r="L271" s="6" t="n"/>
      <c r="M271" s="6" t="n"/>
      <c r="N271" s="5" t="n"/>
      <c r="O271" s="21" t="n"/>
      <c r="P271" s="5" t="n"/>
      <c r="Q271" s="5" t="n"/>
      <c r="R271" s="6" t="n"/>
      <c r="S271" s="4" t="n"/>
      <c r="T271" s="4" t="n"/>
      <c r="U271" s="3">
        <f>IF(C271="","",IF(T271="",TODAY()-C271,T271-C271))</f>
        <v/>
      </c>
      <c r="V271" s="5" t="n"/>
      <c r="W271" s="6" t="n"/>
      <c r="X271" s="3">
        <f>IF(P271="","",IFERROR(VLOOKUP(P271,Parâmetros!$J$2:$K$5,2,FALSE),""))</f>
        <v/>
      </c>
      <c r="Y271" s="4">
        <f>IF(OR(C271="",X271=""),"",C271+X271)</f>
        <v/>
      </c>
      <c r="Z271" s="5">
        <f>IF(C271="","",IF(Q271="Concluído","Concluído",IF(Y271&lt;TODAY(),"Vencido",IF(Y271-TODAY()&lt;=2,"A vencer","No prazo"))))</f>
        <v/>
      </c>
      <c r="AA271" s="3">
        <f>IF(OR(Y271="",Q271="Concluído"),"",Y271-TODAY())</f>
        <v/>
      </c>
      <c r="AB271" s="5" t="n"/>
      <c r="AC271" s="5" t="n"/>
      <c r="AD271" s="4" t="n"/>
    </row>
    <row r="272">
      <c r="A272" s="3">
        <f>IF(C272="","",ROW()-1)</f>
        <v/>
      </c>
      <c r="B272" s="4" t="n"/>
      <c r="C272" s="4" t="n"/>
      <c r="D272" s="5" t="n"/>
      <c r="E272" s="5" t="n"/>
      <c r="F272" s="5" t="n"/>
      <c r="G272" s="5" t="n"/>
      <c r="H272" s="5" t="n"/>
      <c r="I272" s="5" t="n"/>
      <c r="J272" s="5" t="n"/>
      <c r="K272" s="6" t="n"/>
      <c r="L272" s="6" t="n"/>
      <c r="M272" s="6" t="n"/>
      <c r="N272" s="5" t="n"/>
      <c r="O272" s="21" t="n"/>
      <c r="P272" s="5" t="n"/>
      <c r="Q272" s="5" t="n"/>
      <c r="R272" s="6" t="n"/>
      <c r="S272" s="4" t="n"/>
      <c r="T272" s="4" t="n"/>
      <c r="U272" s="3">
        <f>IF(C272="","",IF(T272="",TODAY()-C272,T272-C272))</f>
        <v/>
      </c>
      <c r="V272" s="5" t="n"/>
      <c r="W272" s="6" t="n"/>
      <c r="X272" s="3">
        <f>IF(P272="","",IFERROR(VLOOKUP(P272,Parâmetros!$J$2:$K$5,2,FALSE),""))</f>
        <v/>
      </c>
      <c r="Y272" s="4">
        <f>IF(OR(C272="",X272=""),"",C272+X272)</f>
        <v/>
      </c>
      <c r="Z272" s="5">
        <f>IF(C272="","",IF(Q272="Concluído","Concluído",IF(Y272&lt;TODAY(),"Vencido",IF(Y272-TODAY()&lt;=2,"A vencer","No prazo"))))</f>
        <v/>
      </c>
      <c r="AA272" s="3">
        <f>IF(OR(Y272="",Q272="Concluído"),"",Y272-TODAY())</f>
        <v/>
      </c>
      <c r="AB272" s="5" t="n"/>
      <c r="AC272" s="5" t="n"/>
      <c r="AD272" s="4" t="n"/>
    </row>
    <row r="273">
      <c r="A273" s="3">
        <f>IF(C273="","",ROW()-1)</f>
        <v/>
      </c>
      <c r="B273" s="4" t="n"/>
      <c r="C273" s="4" t="n"/>
      <c r="D273" s="5" t="n"/>
      <c r="E273" s="5" t="n"/>
      <c r="F273" s="5" t="n"/>
      <c r="G273" s="5" t="n"/>
      <c r="H273" s="5" t="n"/>
      <c r="I273" s="5" t="n"/>
      <c r="J273" s="5" t="n"/>
      <c r="K273" s="6" t="n"/>
      <c r="L273" s="6" t="n"/>
      <c r="M273" s="6" t="n"/>
      <c r="N273" s="5" t="n"/>
      <c r="O273" s="21" t="n"/>
      <c r="P273" s="5" t="n"/>
      <c r="Q273" s="5" t="n"/>
      <c r="R273" s="6" t="n"/>
      <c r="S273" s="4" t="n"/>
      <c r="T273" s="4" t="n"/>
      <c r="U273" s="3">
        <f>IF(C273="","",IF(T273="",TODAY()-C273,T273-C273))</f>
        <v/>
      </c>
      <c r="V273" s="5" t="n"/>
      <c r="W273" s="6" t="n"/>
      <c r="X273" s="3">
        <f>IF(P273="","",IFERROR(VLOOKUP(P273,Parâmetros!$J$2:$K$5,2,FALSE),""))</f>
        <v/>
      </c>
      <c r="Y273" s="4">
        <f>IF(OR(C273="",X273=""),"",C273+X273)</f>
        <v/>
      </c>
      <c r="Z273" s="5">
        <f>IF(C273="","",IF(Q273="Concluído","Concluído",IF(Y273&lt;TODAY(),"Vencido",IF(Y273-TODAY()&lt;=2,"A vencer","No prazo"))))</f>
        <v/>
      </c>
      <c r="AA273" s="3">
        <f>IF(OR(Y273="",Q273="Concluído"),"",Y273-TODAY())</f>
        <v/>
      </c>
      <c r="AB273" s="5" t="n"/>
      <c r="AC273" s="5" t="n"/>
      <c r="AD273" s="4" t="n"/>
    </row>
    <row r="274">
      <c r="A274" s="3">
        <f>IF(C274="","",ROW()-1)</f>
        <v/>
      </c>
      <c r="B274" s="4" t="n"/>
      <c r="C274" s="4" t="n"/>
      <c r="D274" s="5" t="n"/>
      <c r="E274" s="5" t="n"/>
      <c r="F274" s="5" t="n"/>
      <c r="G274" s="5" t="n"/>
      <c r="H274" s="5" t="n"/>
      <c r="I274" s="5" t="n"/>
      <c r="J274" s="5" t="n"/>
      <c r="K274" s="6" t="n"/>
      <c r="L274" s="6" t="n"/>
      <c r="M274" s="6" t="n"/>
      <c r="N274" s="5" t="n"/>
      <c r="O274" s="21" t="n"/>
      <c r="P274" s="5" t="n"/>
      <c r="Q274" s="5" t="n"/>
      <c r="R274" s="6" t="n"/>
      <c r="S274" s="4" t="n"/>
      <c r="T274" s="4" t="n"/>
      <c r="U274" s="3">
        <f>IF(C274="","",IF(T274="",TODAY()-C274,T274-C274))</f>
        <v/>
      </c>
      <c r="V274" s="5" t="n"/>
      <c r="W274" s="6" t="n"/>
      <c r="X274" s="3">
        <f>IF(P274="","",IFERROR(VLOOKUP(P274,Parâmetros!$J$2:$K$5,2,FALSE),""))</f>
        <v/>
      </c>
      <c r="Y274" s="4">
        <f>IF(OR(C274="",X274=""),"",C274+X274)</f>
        <v/>
      </c>
      <c r="Z274" s="5">
        <f>IF(C274="","",IF(Q274="Concluído","Concluído",IF(Y274&lt;TODAY(),"Vencido",IF(Y274-TODAY()&lt;=2,"A vencer","No prazo"))))</f>
        <v/>
      </c>
      <c r="AA274" s="3">
        <f>IF(OR(Y274="",Q274="Concluído"),"",Y274-TODAY())</f>
        <v/>
      </c>
      <c r="AB274" s="5" t="n"/>
      <c r="AC274" s="5" t="n"/>
      <c r="AD274" s="4" t="n"/>
    </row>
    <row r="275">
      <c r="A275" s="3">
        <f>IF(C275="","",ROW()-1)</f>
        <v/>
      </c>
      <c r="B275" s="4" t="n"/>
      <c r="C275" s="4" t="n"/>
      <c r="D275" s="5" t="n"/>
      <c r="E275" s="5" t="n"/>
      <c r="F275" s="5" t="n"/>
      <c r="G275" s="5" t="n"/>
      <c r="H275" s="5" t="n"/>
      <c r="I275" s="5" t="n"/>
      <c r="J275" s="5" t="n"/>
      <c r="K275" s="6" t="n"/>
      <c r="L275" s="6" t="n"/>
      <c r="M275" s="6" t="n"/>
      <c r="N275" s="5" t="n"/>
      <c r="O275" s="21" t="n"/>
      <c r="P275" s="5" t="n"/>
      <c r="Q275" s="5" t="n"/>
      <c r="R275" s="6" t="n"/>
      <c r="S275" s="4" t="n"/>
      <c r="T275" s="4" t="n"/>
      <c r="U275" s="3">
        <f>IF(C275="","",IF(T275="",TODAY()-C275,T275-C275))</f>
        <v/>
      </c>
      <c r="V275" s="5" t="n"/>
      <c r="W275" s="6" t="n"/>
      <c r="X275" s="3">
        <f>IF(P275="","",IFERROR(VLOOKUP(P275,Parâmetros!$J$2:$K$5,2,FALSE),""))</f>
        <v/>
      </c>
      <c r="Y275" s="4">
        <f>IF(OR(C275="",X275=""),"",C275+X275)</f>
        <v/>
      </c>
      <c r="Z275" s="5">
        <f>IF(C275="","",IF(Q275="Concluído","Concluído",IF(Y275&lt;TODAY(),"Vencido",IF(Y275-TODAY()&lt;=2,"A vencer","No prazo"))))</f>
        <v/>
      </c>
      <c r="AA275" s="3">
        <f>IF(OR(Y275="",Q275="Concluído"),"",Y275-TODAY())</f>
        <v/>
      </c>
      <c r="AB275" s="5" t="n"/>
      <c r="AC275" s="5" t="n"/>
      <c r="AD275" s="4" t="n"/>
    </row>
    <row r="276">
      <c r="A276" s="3">
        <f>IF(C276="","",ROW()-1)</f>
        <v/>
      </c>
      <c r="B276" s="4" t="n"/>
      <c r="C276" s="4" t="n"/>
      <c r="D276" s="5" t="n"/>
      <c r="E276" s="5" t="n"/>
      <c r="F276" s="5" t="n"/>
      <c r="G276" s="5" t="n"/>
      <c r="H276" s="5" t="n"/>
      <c r="I276" s="5" t="n"/>
      <c r="J276" s="5" t="n"/>
      <c r="K276" s="6" t="n"/>
      <c r="L276" s="6" t="n"/>
      <c r="M276" s="6" t="n"/>
      <c r="N276" s="5" t="n"/>
      <c r="O276" s="21" t="n"/>
      <c r="P276" s="5" t="n"/>
      <c r="Q276" s="5" t="n"/>
      <c r="R276" s="6" t="n"/>
      <c r="S276" s="4" t="n"/>
      <c r="T276" s="4" t="n"/>
      <c r="U276" s="3">
        <f>IF(C276="","",IF(T276="",TODAY()-C276,T276-C276))</f>
        <v/>
      </c>
      <c r="V276" s="5" t="n"/>
      <c r="W276" s="6" t="n"/>
      <c r="X276" s="3">
        <f>IF(P276="","",IFERROR(VLOOKUP(P276,Parâmetros!$J$2:$K$5,2,FALSE),""))</f>
        <v/>
      </c>
      <c r="Y276" s="4">
        <f>IF(OR(C276="",X276=""),"",C276+X276)</f>
        <v/>
      </c>
      <c r="Z276" s="5">
        <f>IF(C276="","",IF(Q276="Concluído","Concluído",IF(Y276&lt;TODAY(),"Vencido",IF(Y276-TODAY()&lt;=2,"A vencer","No prazo"))))</f>
        <v/>
      </c>
      <c r="AA276" s="3">
        <f>IF(OR(Y276="",Q276="Concluído"),"",Y276-TODAY())</f>
        <v/>
      </c>
      <c r="AB276" s="5" t="n"/>
      <c r="AC276" s="5" t="n"/>
      <c r="AD276" s="4" t="n"/>
    </row>
    <row r="277">
      <c r="A277" s="3">
        <f>IF(C277="","",ROW()-1)</f>
        <v/>
      </c>
      <c r="B277" s="4" t="n"/>
      <c r="C277" s="4" t="n"/>
      <c r="D277" s="5" t="n"/>
      <c r="E277" s="5" t="n"/>
      <c r="F277" s="5" t="n"/>
      <c r="G277" s="5" t="n"/>
      <c r="H277" s="5" t="n"/>
      <c r="I277" s="5" t="n"/>
      <c r="J277" s="5" t="n"/>
      <c r="K277" s="6" t="n"/>
      <c r="L277" s="6" t="n"/>
      <c r="M277" s="6" t="n"/>
      <c r="N277" s="5" t="n"/>
      <c r="O277" s="21" t="n"/>
      <c r="P277" s="5" t="n"/>
      <c r="Q277" s="5" t="n"/>
      <c r="R277" s="6" t="n"/>
      <c r="S277" s="4" t="n"/>
      <c r="T277" s="4" t="n"/>
      <c r="U277" s="3">
        <f>IF(C277="","",IF(T277="",TODAY()-C277,T277-C277))</f>
        <v/>
      </c>
      <c r="V277" s="5" t="n"/>
      <c r="W277" s="6" t="n"/>
      <c r="X277" s="3">
        <f>IF(P277="","",IFERROR(VLOOKUP(P277,Parâmetros!$J$2:$K$5,2,FALSE),""))</f>
        <v/>
      </c>
      <c r="Y277" s="4">
        <f>IF(OR(C277="",X277=""),"",C277+X277)</f>
        <v/>
      </c>
      <c r="Z277" s="5">
        <f>IF(C277="","",IF(Q277="Concluído","Concluído",IF(Y277&lt;TODAY(),"Vencido",IF(Y277-TODAY()&lt;=2,"A vencer","No prazo"))))</f>
        <v/>
      </c>
      <c r="AA277" s="3">
        <f>IF(OR(Y277="",Q277="Concluído"),"",Y277-TODAY())</f>
        <v/>
      </c>
      <c r="AB277" s="5" t="n"/>
      <c r="AC277" s="5" t="n"/>
      <c r="AD277" s="4" t="n"/>
    </row>
    <row r="278">
      <c r="A278" s="3">
        <f>IF(C278="","",ROW()-1)</f>
        <v/>
      </c>
      <c r="B278" s="4" t="n"/>
      <c r="C278" s="4" t="n"/>
      <c r="D278" s="5" t="n"/>
      <c r="E278" s="5" t="n"/>
      <c r="F278" s="5" t="n"/>
      <c r="G278" s="5" t="n"/>
      <c r="H278" s="5" t="n"/>
      <c r="I278" s="5" t="n"/>
      <c r="J278" s="5" t="n"/>
      <c r="K278" s="6" t="n"/>
      <c r="L278" s="6" t="n"/>
      <c r="M278" s="6" t="n"/>
      <c r="N278" s="5" t="n"/>
      <c r="O278" s="21" t="n"/>
      <c r="P278" s="5" t="n"/>
      <c r="Q278" s="5" t="n"/>
      <c r="R278" s="6" t="n"/>
      <c r="S278" s="4" t="n"/>
      <c r="T278" s="4" t="n"/>
      <c r="U278" s="3">
        <f>IF(C278="","",IF(T278="",TODAY()-C278,T278-C278))</f>
        <v/>
      </c>
      <c r="V278" s="5" t="n"/>
      <c r="W278" s="6" t="n"/>
      <c r="X278" s="3">
        <f>IF(P278="","",IFERROR(VLOOKUP(P278,Parâmetros!$J$2:$K$5,2,FALSE),""))</f>
        <v/>
      </c>
      <c r="Y278" s="4">
        <f>IF(OR(C278="",X278=""),"",C278+X278)</f>
        <v/>
      </c>
      <c r="Z278" s="5">
        <f>IF(C278="","",IF(Q278="Concluído","Concluído",IF(Y278&lt;TODAY(),"Vencido",IF(Y278-TODAY()&lt;=2,"A vencer","No prazo"))))</f>
        <v/>
      </c>
      <c r="AA278" s="3">
        <f>IF(OR(Y278="",Q278="Concluído"),"",Y278-TODAY())</f>
        <v/>
      </c>
      <c r="AB278" s="5" t="n"/>
      <c r="AC278" s="5" t="n"/>
      <c r="AD278" s="4" t="n"/>
    </row>
    <row r="279">
      <c r="A279" s="3">
        <f>IF(C279="","",ROW()-1)</f>
        <v/>
      </c>
      <c r="B279" s="4" t="n"/>
      <c r="C279" s="4" t="n"/>
      <c r="D279" s="5" t="n"/>
      <c r="E279" s="5" t="n"/>
      <c r="F279" s="5" t="n"/>
      <c r="G279" s="5" t="n"/>
      <c r="H279" s="5" t="n"/>
      <c r="I279" s="5" t="n"/>
      <c r="J279" s="5" t="n"/>
      <c r="K279" s="6" t="n"/>
      <c r="L279" s="6" t="n"/>
      <c r="M279" s="6" t="n"/>
      <c r="N279" s="5" t="n"/>
      <c r="O279" s="21" t="n"/>
      <c r="P279" s="5" t="n"/>
      <c r="Q279" s="5" t="n"/>
      <c r="R279" s="6" t="n"/>
      <c r="S279" s="4" t="n"/>
      <c r="T279" s="4" t="n"/>
      <c r="U279" s="3">
        <f>IF(C279="","",IF(T279="",TODAY()-C279,T279-C279))</f>
        <v/>
      </c>
      <c r="V279" s="5" t="n"/>
      <c r="W279" s="6" t="n"/>
      <c r="X279" s="3">
        <f>IF(P279="","",IFERROR(VLOOKUP(P279,Parâmetros!$J$2:$K$5,2,FALSE),""))</f>
        <v/>
      </c>
      <c r="Y279" s="4">
        <f>IF(OR(C279="",X279=""),"",C279+X279)</f>
        <v/>
      </c>
      <c r="Z279" s="5">
        <f>IF(C279="","",IF(Q279="Concluído","Concluído",IF(Y279&lt;TODAY(),"Vencido",IF(Y279-TODAY()&lt;=2,"A vencer","No prazo"))))</f>
        <v/>
      </c>
      <c r="AA279" s="3">
        <f>IF(OR(Y279="",Q279="Concluído"),"",Y279-TODAY())</f>
        <v/>
      </c>
      <c r="AB279" s="5" t="n"/>
      <c r="AC279" s="5" t="n"/>
      <c r="AD279" s="4" t="n"/>
    </row>
    <row r="280">
      <c r="A280" s="3">
        <f>IF(C280="","",ROW()-1)</f>
        <v/>
      </c>
      <c r="B280" s="4" t="n"/>
      <c r="C280" s="4" t="n"/>
      <c r="D280" s="5" t="n"/>
      <c r="E280" s="5" t="n"/>
      <c r="F280" s="5" t="n"/>
      <c r="G280" s="5" t="n"/>
      <c r="H280" s="5" t="n"/>
      <c r="I280" s="5" t="n"/>
      <c r="J280" s="5" t="n"/>
      <c r="K280" s="6" t="n"/>
      <c r="L280" s="6" t="n"/>
      <c r="M280" s="6" t="n"/>
      <c r="N280" s="5" t="n"/>
      <c r="O280" s="21" t="n"/>
      <c r="P280" s="5" t="n"/>
      <c r="Q280" s="5" t="n"/>
      <c r="R280" s="6" t="n"/>
      <c r="S280" s="4" t="n"/>
      <c r="T280" s="4" t="n"/>
      <c r="U280" s="3">
        <f>IF(C280="","",IF(T280="",TODAY()-C280,T280-C280))</f>
        <v/>
      </c>
      <c r="V280" s="5" t="n"/>
      <c r="W280" s="6" t="n"/>
      <c r="X280" s="3">
        <f>IF(P280="","",IFERROR(VLOOKUP(P280,Parâmetros!$J$2:$K$5,2,FALSE),""))</f>
        <v/>
      </c>
      <c r="Y280" s="4">
        <f>IF(OR(C280="",X280=""),"",C280+X280)</f>
        <v/>
      </c>
      <c r="Z280" s="5">
        <f>IF(C280="","",IF(Q280="Concluído","Concluído",IF(Y280&lt;TODAY(),"Vencido",IF(Y280-TODAY()&lt;=2,"A vencer","No prazo"))))</f>
        <v/>
      </c>
      <c r="AA280" s="3">
        <f>IF(OR(Y280="",Q280="Concluído"),"",Y280-TODAY())</f>
        <v/>
      </c>
      <c r="AB280" s="5" t="n"/>
      <c r="AC280" s="5" t="n"/>
      <c r="AD280" s="4" t="n"/>
    </row>
    <row r="281">
      <c r="A281" s="3">
        <f>IF(C281="","",ROW()-1)</f>
        <v/>
      </c>
      <c r="B281" s="4" t="n"/>
      <c r="C281" s="4" t="n"/>
      <c r="D281" s="5" t="n"/>
      <c r="E281" s="5" t="n"/>
      <c r="F281" s="5" t="n"/>
      <c r="G281" s="5" t="n"/>
      <c r="H281" s="5" t="n"/>
      <c r="I281" s="5" t="n"/>
      <c r="J281" s="5" t="n"/>
      <c r="K281" s="6" t="n"/>
      <c r="L281" s="6" t="n"/>
      <c r="M281" s="6" t="n"/>
      <c r="N281" s="5" t="n"/>
      <c r="O281" s="21" t="n"/>
      <c r="P281" s="5" t="n"/>
      <c r="Q281" s="5" t="n"/>
      <c r="R281" s="6" t="n"/>
      <c r="S281" s="4" t="n"/>
      <c r="T281" s="4" t="n"/>
      <c r="U281" s="3">
        <f>IF(C281="","",IF(T281="",TODAY()-C281,T281-C281))</f>
        <v/>
      </c>
      <c r="V281" s="5" t="n"/>
      <c r="W281" s="6" t="n"/>
      <c r="X281" s="3">
        <f>IF(P281="","",IFERROR(VLOOKUP(P281,Parâmetros!$J$2:$K$5,2,FALSE),""))</f>
        <v/>
      </c>
      <c r="Y281" s="4">
        <f>IF(OR(C281="",X281=""),"",C281+X281)</f>
        <v/>
      </c>
      <c r="Z281" s="5">
        <f>IF(C281="","",IF(Q281="Concluído","Concluído",IF(Y281&lt;TODAY(),"Vencido",IF(Y281-TODAY()&lt;=2,"A vencer","No prazo"))))</f>
        <v/>
      </c>
      <c r="AA281" s="3">
        <f>IF(OR(Y281="",Q281="Concluído"),"",Y281-TODAY())</f>
        <v/>
      </c>
      <c r="AB281" s="5" t="n"/>
      <c r="AC281" s="5" t="n"/>
      <c r="AD281" s="4" t="n"/>
    </row>
    <row r="282">
      <c r="A282" s="3">
        <f>IF(C282="","",ROW()-1)</f>
        <v/>
      </c>
      <c r="B282" s="4" t="n"/>
      <c r="C282" s="4" t="n"/>
      <c r="D282" s="5" t="n"/>
      <c r="E282" s="5" t="n"/>
      <c r="F282" s="5" t="n"/>
      <c r="G282" s="5" t="n"/>
      <c r="H282" s="5" t="n"/>
      <c r="I282" s="5" t="n"/>
      <c r="J282" s="5" t="n"/>
      <c r="K282" s="6" t="n"/>
      <c r="L282" s="6" t="n"/>
      <c r="M282" s="6" t="n"/>
      <c r="N282" s="5" t="n"/>
      <c r="O282" s="21" t="n"/>
      <c r="P282" s="5" t="n"/>
      <c r="Q282" s="5" t="n"/>
      <c r="R282" s="6" t="n"/>
      <c r="S282" s="4" t="n"/>
      <c r="T282" s="4" t="n"/>
      <c r="U282" s="3">
        <f>IF(C282="","",IF(T282="",TODAY()-C282,T282-C282))</f>
        <v/>
      </c>
      <c r="V282" s="5" t="n"/>
      <c r="W282" s="6" t="n"/>
      <c r="X282" s="3">
        <f>IF(P282="","",IFERROR(VLOOKUP(P282,Parâmetros!$J$2:$K$5,2,FALSE),""))</f>
        <v/>
      </c>
      <c r="Y282" s="4">
        <f>IF(OR(C282="",X282=""),"",C282+X282)</f>
        <v/>
      </c>
      <c r="Z282" s="5">
        <f>IF(C282="","",IF(Q282="Concluído","Concluído",IF(Y282&lt;TODAY(),"Vencido",IF(Y282-TODAY()&lt;=2,"A vencer","No prazo"))))</f>
        <v/>
      </c>
      <c r="AA282" s="3">
        <f>IF(OR(Y282="",Q282="Concluído"),"",Y282-TODAY())</f>
        <v/>
      </c>
      <c r="AB282" s="5" t="n"/>
      <c r="AC282" s="5" t="n"/>
      <c r="AD282" s="4" t="n"/>
    </row>
    <row r="283">
      <c r="A283" s="3">
        <f>IF(C283="","",ROW()-1)</f>
        <v/>
      </c>
      <c r="B283" s="4" t="n"/>
      <c r="C283" s="4" t="n"/>
      <c r="D283" s="5" t="n"/>
      <c r="E283" s="5" t="n"/>
      <c r="F283" s="5" t="n"/>
      <c r="G283" s="5" t="n"/>
      <c r="H283" s="5" t="n"/>
      <c r="I283" s="5" t="n"/>
      <c r="J283" s="5" t="n"/>
      <c r="K283" s="6" t="n"/>
      <c r="L283" s="6" t="n"/>
      <c r="M283" s="6" t="n"/>
      <c r="N283" s="5" t="n"/>
      <c r="O283" s="21" t="n"/>
      <c r="P283" s="5" t="n"/>
      <c r="Q283" s="5" t="n"/>
      <c r="R283" s="6" t="n"/>
      <c r="S283" s="4" t="n"/>
      <c r="T283" s="4" t="n"/>
      <c r="U283" s="3">
        <f>IF(C283="","",IF(T283="",TODAY()-C283,T283-C283))</f>
        <v/>
      </c>
      <c r="V283" s="5" t="n"/>
      <c r="W283" s="6" t="n"/>
      <c r="X283" s="3">
        <f>IF(P283="","",IFERROR(VLOOKUP(P283,Parâmetros!$J$2:$K$5,2,FALSE),""))</f>
        <v/>
      </c>
      <c r="Y283" s="4">
        <f>IF(OR(C283="",X283=""),"",C283+X283)</f>
        <v/>
      </c>
      <c r="Z283" s="5">
        <f>IF(C283="","",IF(Q283="Concluído","Concluído",IF(Y283&lt;TODAY(),"Vencido",IF(Y283-TODAY()&lt;=2,"A vencer","No prazo"))))</f>
        <v/>
      </c>
      <c r="AA283" s="3">
        <f>IF(OR(Y283="",Q283="Concluído"),"",Y283-TODAY())</f>
        <v/>
      </c>
      <c r="AB283" s="5" t="n"/>
      <c r="AC283" s="5" t="n"/>
      <c r="AD283" s="4" t="n"/>
    </row>
    <row r="284">
      <c r="A284" s="3">
        <f>IF(C284="","",ROW()-1)</f>
        <v/>
      </c>
      <c r="B284" s="4" t="n"/>
      <c r="C284" s="4" t="n"/>
      <c r="D284" s="5" t="n"/>
      <c r="E284" s="5" t="n"/>
      <c r="F284" s="5" t="n"/>
      <c r="G284" s="5" t="n"/>
      <c r="H284" s="5" t="n"/>
      <c r="I284" s="5" t="n"/>
      <c r="J284" s="5" t="n"/>
      <c r="K284" s="6" t="n"/>
      <c r="L284" s="6" t="n"/>
      <c r="M284" s="6" t="n"/>
      <c r="N284" s="5" t="n"/>
      <c r="O284" s="21" t="n"/>
      <c r="P284" s="5" t="n"/>
      <c r="Q284" s="5" t="n"/>
      <c r="R284" s="6" t="n"/>
      <c r="S284" s="4" t="n"/>
      <c r="T284" s="4" t="n"/>
      <c r="U284" s="3">
        <f>IF(C284="","",IF(T284="",TODAY()-C284,T284-C284))</f>
        <v/>
      </c>
      <c r="V284" s="5" t="n"/>
      <c r="W284" s="6" t="n"/>
      <c r="X284" s="3">
        <f>IF(P284="","",IFERROR(VLOOKUP(P284,Parâmetros!$J$2:$K$5,2,FALSE),""))</f>
        <v/>
      </c>
      <c r="Y284" s="4">
        <f>IF(OR(C284="",X284=""),"",C284+X284)</f>
        <v/>
      </c>
      <c r="Z284" s="5">
        <f>IF(C284="","",IF(Q284="Concluído","Concluído",IF(Y284&lt;TODAY(),"Vencido",IF(Y284-TODAY()&lt;=2,"A vencer","No prazo"))))</f>
        <v/>
      </c>
      <c r="AA284" s="3">
        <f>IF(OR(Y284="",Q284="Concluído"),"",Y284-TODAY())</f>
        <v/>
      </c>
      <c r="AB284" s="5" t="n"/>
      <c r="AC284" s="5" t="n"/>
      <c r="AD284" s="4" t="n"/>
    </row>
    <row r="285">
      <c r="A285" s="3">
        <f>IF(C285="","",ROW()-1)</f>
        <v/>
      </c>
      <c r="B285" s="4" t="n"/>
      <c r="C285" s="4" t="n"/>
      <c r="D285" s="5" t="n"/>
      <c r="E285" s="5" t="n"/>
      <c r="F285" s="5" t="n"/>
      <c r="G285" s="5" t="n"/>
      <c r="H285" s="5" t="n"/>
      <c r="I285" s="5" t="n"/>
      <c r="J285" s="5" t="n"/>
      <c r="K285" s="6" t="n"/>
      <c r="L285" s="6" t="n"/>
      <c r="M285" s="6" t="n"/>
      <c r="N285" s="5" t="n"/>
      <c r="O285" s="21" t="n"/>
      <c r="P285" s="5" t="n"/>
      <c r="Q285" s="5" t="n"/>
      <c r="R285" s="6" t="n"/>
      <c r="S285" s="4" t="n"/>
      <c r="T285" s="4" t="n"/>
      <c r="U285" s="3">
        <f>IF(C285="","",IF(T285="",TODAY()-C285,T285-C285))</f>
        <v/>
      </c>
      <c r="V285" s="5" t="n"/>
      <c r="W285" s="6" t="n"/>
      <c r="X285" s="3">
        <f>IF(P285="","",IFERROR(VLOOKUP(P285,Parâmetros!$J$2:$K$5,2,FALSE),""))</f>
        <v/>
      </c>
      <c r="Y285" s="4">
        <f>IF(OR(C285="",X285=""),"",C285+X285)</f>
        <v/>
      </c>
      <c r="Z285" s="5">
        <f>IF(C285="","",IF(Q285="Concluído","Concluído",IF(Y285&lt;TODAY(),"Vencido",IF(Y285-TODAY()&lt;=2,"A vencer","No prazo"))))</f>
        <v/>
      </c>
      <c r="AA285" s="3">
        <f>IF(OR(Y285="",Q285="Concluído"),"",Y285-TODAY())</f>
        <v/>
      </c>
      <c r="AB285" s="5" t="n"/>
      <c r="AC285" s="5" t="n"/>
      <c r="AD285" s="4" t="n"/>
    </row>
    <row r="286">
      <c r="A286" s="3">
        <f>IF(C286="","",ROW()-1)</f>
        <v/>
      </c>
      <c r="B286" s="4" t="n"/>
      <c r="C286" s="4" t="n"/>
      <c r="D286" s="5" t="n"/>
      <c r="E286" s="5" t="n"/>
      <c r="F286" s="5" t="n"/>
      <c r="G286" s="5" t="n"/>
      <c r="H286" s="5" t="n"/>
      <c r="I286" s="5" t="n"/>
      <c r="J286" s="5" t="n"/>
      <c r="K286" s="6" t="n"/>
      <c r="L286" s="6" t="n"/>
      <c r="M286" s="6" t="n"/>
      <c r="N286" s="5" t="n"/>
      <c r="O286" s="21" t="n"/>
      <c r="P286" s="5" t="n"/>
      <c r="Q286" s="5" t="n"/>
      <c r="R286" s="6" t="n"/>
      <c r="S286" s="4" t="n"/>
      <c r="T286" s="4" t="n"/>
      <c r="U286" s="3">
        <f>IF(C286="","",IF(T286="",TODAY()-C286,T286-C286))</f>
        <v/>
      </c>
      <c r="V286" s="5" t="n"/>
      <c r="W286" s="6" t="n"/>
      <c r="X286" s="3">
        <f>IF(P286="","",IFERROR(VLOOKUP(P286,Parâmetros!$J$2:$K$5,2,FALSE),""))</f>
        <v/>
      </c>
      <c r="Y286" s="4">
        <f>IF(OR(C286="",X286=""),"",C286+X286)</f>
        <v/>
      </c>
      <c r="Z286" s="5">
        <f>IF(C286="","",IF(Q286="Concluído","Concluído",IF(Y286&lt;TODAY(),"Vencido",IF(Y286-TODAY()&lt;=2,"A vencer","No prazo"))))</f>
        <v/>
      </c>
      <c r="AA286" s="3">
        <f>IF(OR(Y286="",Q286="Concluído"),"",Y286-TODAY())</f>
        <v/>
      </c>
      <c r="AB286" s="5" t="n"/>
      <c r="AC286" s="5" t="n"/>
      <c r="AD286" s="4" t="n"/>
    </row>
    <row r="287">
      <c r="A287" s="3">
        <f>IF(C287="","",ROW()-1)</f>
        <v/>
      </c>
      <c r="B287" s="4" t="n"/>
      <c r="C287" s="4" t="n"/>
      <c r="D287" s="5" t="n"/>
      <c r="E287" s="5" t="n"/>
      <c r="F287" s="5" t="n"/>
      <c r="G287" s="5" t="n"/>
      <c r="H287" s="5" t="n"/>
      <c r="I287" s="5" t="n"/>
      <c r="J287" s="5" t="n"/>
      <c r="K287" s="6" t="n"/>
      <c r="L287" s="6" t="n"/>
      <c r="M287" s="6" t="n"/>
      <c r="N287" s="5" t="n"/>
      <c r="O287" s="21" t="n"/>
      <c r="P287" s="5" t="n"/>
      <c r="Q287" s="5" t="n"/>
      <c r="R287" s="6" t="n"/>
      <c r="S287" s="4" t="n"/>
      <c r="T287" s="4" t="n"/>
      <c r="U287" s="3">
        <f>IF(C287="","",IF(T287="",TODAY()-C287,T287-C287))</f>
        <v/>
      </c>
      <c r="V287" s="5" t="n"/>
      <c r="W287" s="6" t="n"/>
      <c r="X287" s="3">
        <f>IF(P287="","",IFERROR(VLOOKUP(P287,Parâmetros!$J$2:$K$5,2,FALSE),""))</f>
        <v/>
      </c>
      <c r="Y287" s="4">
        <f>IF(OR(C287="",X287=""),"",C287+X287)</f>
        <v/>
      </c>
      <c r="Z287" s="5">
        <f>IF(C287="","",IF(Q287="Concluído","Concluído",IF(Y287&lt;TODAY(),"Vencido",IF(Y287-TODAY()&lt;=2,"A vencer","No prazo"))))</f>
        <v/>
      </c>
      <c r="AA287" s="3">
        <f>IF(OR(Y287="",Q287="Concluído"),"",Y287-TODAY())</f>
        <v/>
      </c>
      <c r="AB287" s="5" t="n"/>
      <c r="AC287" s="5" t="n"/>
      <c r="AD287" s="4" t="n"/>
    </row>
    <row r="288">
      <c r="A288" s="3">
        <f>IF(C288="","",ROW()-1)</f>
        <v/>
      </c>
      <c r="B288" s="4" t="n"/>
      <c r="C288" s="4" t="n"/>
      <c r="D288" s="5" t="n"/>
      <c r="E288" s="5" t="n"/>
      <c r="F288" s="5" t="n"/>
      <c r="G288" s="5" t="n"/>
      <c r="H288" s="5" t="n"/>
      <c r="I288" s="5" t="n"/>
      <c r="J288" s="5" t="n"/>
      <c r="K288" s="6" t="n"/>
      <c r="L288" s="6" t="n"/>
      <c r="M288" s="6" t="n"/>
      <c r="N288" s="5" t="n"/>
      <c r="O288" s="21" t="n"/>
      <c r="P288" s="5" t="n"/>
      <c r="Q288" s="5" t="n"/>
      <c r="R288" s="6" t="n"/>
      <c r="S288" s="4" t="n"/>
      <c r="T288" s="4" t="n"/>
      <c r="U288" s="3">
        <f>IF(C288="","",IF(T288="",TODAY()-C288,T288-C288))</f>
        <v/>
      </c>
      <c r="V288" s="5" t="n"/>
      <c r="W288" s="6" t="n"/>
      <c r="X288" s="3">
        <f>IF(P288="","",IFERROR(VLOOKUP(P288,Parâmetros!$J$2:$K$5,2,FALSE),""))</f>
        <v/>
      </c>
      <c r="Y288" s="4">
        <f>IF(OR(C288="",X288=""),"",C288+X288)</f>
        <v/>
      </c>
      <c r="Z288" s="5">
        <f>IF(C288="","",IF(Q288="Concluído","Concluído",IF(Y288&lt;TODAY(),"Vencido",IF(Y288-TODAY()&lt;=2,"A vencer","No prazo"))))</f>
        <v/>
      </c>
      <c r="AA288" s="3">
        <f>IF(OR(Y288="",Q288="Concluído"),"",Y288-TODAY())</f>
        <v/>
      </c>
      <c r="AB288" s="5" t="n"/>
      <c r="AC288" s="5" t="n"/>
      <c r="AD288" s="4" t="n"/>
    </row>
    <row r="289">
      <c r="A289" s="3">
        <f>IF(C289="","",ROW()-1)</f>
        <v/>
      </c>
      <c r="B289" s="4" t="n"/>
      <c r="C289" s="4" t="n"/>
      <c r="D289" s="5" t="n"/>
      <c r="E289" s="5" t="n"/>
      <c r="F289" s="5" t="n"/>
      <c r="G289" s="5" t="n"/>
      <c r="H289" s="5" t="n"/>
      <c r="I289" s="5" t="n"/>
      <c r="J289" s="5" t="n"/>
      <c r="K289" s="6" t="n"/>
      <c r="L289" s="6" t="n"/>
      <c r="M289" s="6" t="n"/>
      <c r="N289" s="5" t="n"/>
      <c r="O289" s="21" t="n"/>
      <c r="P289" s="5" t="n"/>
      <c r="Q289" s="5" t="n"/>
      <c r="R289" s="6" t="n"/>
      <c r="S289" s="4" t="n"/>
      <c r="T289" s="4" t="n"/>
      <c r="U289" s="3">
        <f>IF(C289="","",IF(T289="",TODAY()-C289,T289-C289))</f>
        <v/>
      </c>
      <c r="V289" s="5" t="n"/>
      <c r="W289" s="6" t="n"/>
      <c r="X289" s="3">
        <f>IF(P289="","",IFERROR(VLOOKUP(P289,Parâmetros!$J$2:$K$5,2,FALSE),""))</f>
        <v/>
      </c>
      <c r="Y289" s="4">
        <f>IF(OR(C289="",X289=""),"",C289+X289)</f>
        <v/>
      </c>
      <c r="Z289" s="5">
        <f>IF(C289="","",IF(Q289="Concluído","Concluído",IF(Y289&lt;TODAY(),"Vencido",IF(Y289-TODAY()&lt;=2,"A vencer","No prazo"))))</f>
        <v/>
      </c>
      <c r="AA289" s="3">
        <f>IF(OR(Y289="",Q289="Concluído"),"",Y289-TODAY())</f>
        <v/>
      </c>
      <c r="AB289" s="5" t="n"/>
      <c r="AC289" s="5" t="n"/>
      <c r="AD289" s="4" t="n"/>
    </row>
    <row r="290">
      <c r="A290" s="3">
        <f>IF(C290="","",ROW()-1)</f>
        <v/>
      </c>
      <c r="B290" s="4" t="n"/>
      <c r="C290" s="4" t="n"/>
      <c r="D290" s="5" t="n"/>
      <c r="E290" s="5" t="n"/>
      <c r="F290" s="5" t="n"/>
      <c r="G290" s="5" t="n"/>
      <c r="H290" s="5" t="n"/>
      <c r="I290" s="5" t="n"/>
      <c r="J290" s="5" t="n"/>
      <c r="K290" s="6" t="n"/>
      <c r="L290" s="6" t="n"/>
      <c r="M290" s="6" t="n"/>
      <c r="N290" s="5" t="n"/>
      <c r="O290" s="21" t="n"/>
      <c r="P290" s="5" t="n"/>
      <c r="Q290" s="5" t="n"/>
      <c r="R290" s="6" t="n"/>
      <c r="S290" s="4" t="n"/>
      <c r="T290" s="4" t="n"/>
      <c r="U290" s="3">
        <f>IF(C290="","",IF(T290="",TODAY()-C290,T290-C290))</f>
        <v/>
      </c>
      <c r="V290" s="5" t="n"/>
      <c r="W290" s="6" t="n"/>
      <c r="X290" s="3">
        <f>IF(P290="","",IFERROR(VLOOKUP(P290,Parâmetros!$J$2:$K$5,2,FALSE),""))</f>
        <v/>
      </c>
      <c r="Y290" s="4">
        <f>IF(OR(C290="",X290=""),"",C290+X290)</f>
        <v/>
      </c>
      <c r="Z290" s="5">
        <f>IF(C290="","",IF(Q290="Concluído","Concluído",IF(Y290&lt;TODAY(),"Vencido",IF(Y290-TODAY()&lt;=2,"A vencer","No prazo"))))</f>
        <v/>
      </c>
      <c r="AA290" s="3">
        <f>IF(OR(Y290="",Q290="Concluído"),"",Y290-TODAY())</f>
        <v/>
      </c>
      <c r="AB290" s="5" t="n"/>
      <c r="AC290" s="5" t="n"/>
      <c r="AD290" s="4" t="n"/>
    </row>
    <row r="291">
      <c r="A291" s="3">
        <f>IF(C291="","",ROW()-1)</f>
        <v/>
      </c>
      <c r="B291" s="4" t="n"/>
      <c r="C291" s="4" t="n"/>
      <c r="D291" s="5" t="n"/>
      <c r="E291" s="5" t="n"/>
      <c r="F291" s="5" t="n"/>
      <c r="G291" s="5" t="n"/>
      <c r="H291" s="5" t="n"/>
      <c r="I291" s="5" t="n"/>
      <c r="J291" s="5" t="n"/>
      <c r="K291" s="6" t="n"/>
      <c r="L291" s="6" t="n"/>
      <c r="M291" s="6" t="n"/>
      <c r="N291" s="5" t="n"/>
      <c r="O291" s="21" t="n"/>
      <c r="P291" s="5" t="n"/>
      <c r="Q291" s="5" t="n"/>
      <c r="R291" s="6" t="n"/>
      <c r="S291" s="4" t="n"/>
      <c r="T291" s="4" t="n"/>
      <c r="U291" s="3">
        <f>IF(C291="","",IF(T291="",TODAY()-C291,T291-C291))</f>
        <v/>
      </c>
      <c r="V291" s="5" t="n"/>
      <c r="W291" s="6" t="n"/>
      <c r="X291" s="3">
        <f>IF(P291="","",IFERROR(VLOOKUP(P291,Parâmetros!$J$2:$K$5,2,FALSE),""))</f>
        <v/>
      </c>
      <c r="Y291" s="4">
        <f>IF(OR(C291="",X291=""),"",C291+X291)</f>
        <v/>
      </c>
      <c r="Z291" s="5">
        <f>IF(C291="","",IF(Q291="Concluído","Concluído",IF(Y291&lt;TODAY(),"Vencido",IF(Y291-TODAY()&lt;=2,"A vencer","No prazo"))))</f>
        <v/>
      </c>
      <c r="AA291" s="3">
        <f>IF(OR(Y291="",Q291="Concluído"),"",Y291-TODAY())</f>
        <v/>
      </c>
      <c r="AB291" s="5" t="n"/>
      <c r="AC291" s="5" t="n"/>
      <c r="AD291" s="4" t="n"/>
    </row>
    <row r="292">
      <c r="A292" s="3">
        <f>IF(C292="","",ROW()-1)</f>
        <v/>
      </c>
      <c r="B292" s="4" t="n"/>
      <c r="C292" s="4" t="n"/>
      <c r="D292" s="5" t="n"/>
      <c r="E292" s="5" t="n"/>
      <c r="F292" s="5" t="n"/>
      <c r="G292" s="5" t="n"/>
      <c r="H292" s="5" t="n"/>
      <c r="I292" s="5" t="n"/>
      <c r="J292" s="5" t="n"/>
      <c r="K292" s="6" t="n"/>
      <c r="L292" s="6" t="n"/>
      <c r="M292" s="6" t="n"/>
      <c r="N292" s="5" t="n"/>
      <c r="O292" s="21" t="n"/>
      <c r="P292" s="5" t="n"/>
      <c r="Q292" s="5" t="n"/>
      <c r="R292" s="6" t="n"/>
      <c r="S292" s="4" t="n"/>
      <c r="T292" s="4" t="n"/>
      <c r="U292" s="3">
        <f>IF(C292="","",IF(T292="",TODAY()-C292,T292-C292))</f>
        <v/>
      </c>
      <c r="V292" s="5" t="n"/>
      <c r="W292" s="6" t="n"/>
      <c r="X292" s="3">
        <f>IF(P292="","",IFERROR(VLOOKUP(P292,Parâmetros!$J$2:$K$5,2,FALSE),""))</f>
        <v/>
      </c>
      <c r="Y292" s="4">
        <f>IF(OR(C292="",X292=""),"",C292+X292)</f>
        <v/>
      </c>
      <c r="Z292" s="5">
        <f>IF(C292="","",IF(Q292="Concluído","Concluído",IF(Y292&lt;TODAY(),"Vencido",IF(Y292-TODAY()&lt;=2,"A vencer","No prazo"))))</f>
        <v/>
      </c>
      <c r="AA292" s="3">
        <f>IF(OR(Y292="",Q292="Concluído"),"",Y292-TODAY())</f>
        <v/>
      </c>
      <c r="AB292" s="5" t="n"/>
      <c r="AC292" s="5" t="n"/>
      <c r="AD292" s="4" t="n"/>
    </row>
    <row r="293">
      <c r="A293" s="3">
        <f>IF(C293="","",ROW()-1)</f>
        <v/>
      </c>
      <c r="B293" s="4" t="n"/>
      <c r="C293" s="4" t="n"/>
      <c r="D293" s="5" t="n"/>
      <c r="E293" s="5" t="n"/>
      <c r="F293" s="5" t="n"/>
      <c r="G293" s="5" t="n"/>
      <c r="H293" s="5" t="n"/>
      <c r="I293" s="5" t="n"/>
      <c r="J293" s="5" t="n"/>
      <c r="K293" s="6" t="n"/>
      <c r="L293" s="6" t="n"/>
      <c r="M293" s="6" t="n"/>
      <c r="N293" s="5" t="n"/>
      <c r="O293" s="21" t="n"/>
      <c r="P293" s="5" t="n"/>
      <c r="Q293" s="5" t="n"/>
      <c r="R293" s="6" t="n"/>
      <c r="S293" s="4" t="n"/>
      <c r="T293" s="4" t="n"/>
      <c r="U293" s="3">
        <f>IF(C293="","",IF(T293="",TODAY()-C293,T293-C293))</f>
        <v/>
      </c>
      <c r="V293" s="5" t="n"/>
      <c r="W293" s="6" t="n"/>
      <c r="X293" s="3">
        <f>IF(P293="","",IFERROR(VLOOKUP(P293,Parâmetros!$J$2:$K$5,2,FALSE),""))</f>
        <v/>
      </c>
      <c r="Y293" s="4">
        <f>IF(OR(C293="",X293=""),"",C293+X293)</f>
        <v/>
      </c>
      <c r="Z293" s="5">
        <f>IF(C293="","",IF(Q293="Concluído","Concluído",IF(Y293&lt;TODAY(),"Vencido",IF(Y293-TODAY()&lt;=2,"A vencer","No prazo"))))</f>
        <v/>
      </c>
      <c r="AA293" s="3">
        <f>IF(OR(Y293="",Q293="Concluído"),"",Y293-TODAY())</f>
        <v/>
      </c>
      <c r="AB293" s="5" t="n"/>
      <c r="AC293" s="5" t="n"/>
      <c r="AD293" s="4" t="n"/>
    </row>
    <row r="294">
      <c r="A294" s="3">
        <f>IF(C294="","",ROW()-1)</f>
        <v/>
      </c>
      <c r="B294" s="4" t="n"/>
      <c r="C294" s="4" t="n"/>
      <c r="D294" s="5" t="n"/>
      <c r="E294" s="5" t="n"/>
      <c r="F294" s="5" t="n"/>
      <c r="G294" s="5" t="n"/>
      <c r="H294" s="5" t="n"/>
      <c r="I294" s="5" t="n"/>
      <c r="J294" s="5" t="n"/>
      <c r="K294" s="6" t="n"/>
      <c r="L294" s="6" t="n"/>
      <c r="M294" s="6" t="n"/>
      <c r="N294" s="5" t="n"/>
      <c r="O294" s="21" t="n"/>
      <c r="P294" s="5" t="n"/>
      <c r="Q294" s="5" t="n"/>
      <c r="R294" s="6" t="n"/>
      <c r="S294" s="4" t="n"/>
      <c r="T294" s="4" t="n"/>
      <c r="U294" s="3">
        <f>IF(C294="","",IF(T294="",TODAY()-C294,T294-C294))</f>
        <v/>
      </c>
      <c r="V294" s="5" t="n"/>
      <c r="W294" s="6" t="n"/>
      <c r="X294" s="3">
        <f>IF(P294="","",IFERROR(VLOOKUP(P294,Parâmetros!$J$2:$K$5,2,FALSE),""))</f>
        <v/>
      </c>
      <c r="Y294" s="4">
        <f>IF(OR(C294="",X294=""),"",C294+X294)</f>
        <v/>
      </c>
      <c r="Z294" s="5">
        <f>IF(C294="","",IF(Q294="Concluído","Concluído",IF(Y294&lt;TODAY(),"Vencido",IF(Y294-TODAY()&lt;=2,"A vencer","No prazo"))))</f>
        <v/>
      </c>
      <c r="AA294" s="3">
        <f>IF(OR(Y294="",Q294="Concluído"),"",Y294-TODAY())</f>
        <v/>
      </c>
      <c r="AB294" s="5" t="n"/>
      <c r="AC294" s="5" t="n"/>
      <c r="AD294" s="4" t="n"/>
    </row>
    <row r="295">
      <c r="A295" s="3">
        <f>IF(C295="","",ROW()-1)</f>
        <v/>
      </c>
      <c r="B295" s="4" t="n"/>
      <c r="C295" s="4" t="n"/>
      <c r="D295" s="5" t="n"/>
      <c r="E295" s="5" t="n"/>
      <c r="F295" s="5" t="n"/>
      <c r="G295" s="5" t="n"/>
      <c r="H295" s="5" t="n"/>
      <c r="I295" s="5" t="n"/>
      <c r="J295" s="5" t="n"/>
      <c r="K295" s="6" t="n"/>
      <c r="L295" s="6" t="n"/>
      <c r="M295" s="6" t="n"/>
      <c r="N295" s="5" t="n"/>
      <c r="O295" s="21" t="n"/>
      <c r="P295" s="5" t="n"/>
      <c r="Q295" s="5" t="n"/>
      <c r="R295" s="6" t="n"/>
      <c r="S295" s="4" t="n"/>
      <c r="T295" s="4" t="n"/>
      <c r="U295" s="3">
        <f>IF(C295="","",IF(T295="",TODAY()-C295,T295-C295))</f>
        <v/>
      </c>
      <c r="V295" s="5" t="n"/>
      <c r="W295" s="6" t="n"/>
      <c r="X295" s="3">
        <f>IF(P295="","",IFERROR(VLOOKUP(P295,Parâmetros!$J$2:$K$5,2,FALSE),""))</f>
        <v/>
      </c>
      <c r="Y295" s="4">
        <f>IF(OR(C295="",X295=""),"",C295+X295)</f>
        <v/>
      </c>
      <c r="Z295" s="5">
        <f>IF(C295="","",IF(Q295="Concluído","Concluído",IF(Y295&lt;TODAY(),"Vencido",IF(Y295-TODAY()&lt;=2,"A vencer","No prazo"))))</f>
        <v/>
      </c>
      <c r="AA295" s="3">
        <f>IF(OR(Y295="",Q295="Concluído"),"",Y295-TODAY())</f>
        <v/>
      </c>
      <c r="AB295" s="5" t="n"/>
      <c r="AC295" s="5" t="n"/>
      <c r="AD295" s="4" t="n"/>
    </row>
    <row r="296">
      <c r="A296" s="3">
        <f>IF(C296="","",ROW()-1)</f>
        <v/>
      </c>
      <c r="B296" s="4" t="n"/>
      <c r="C296" s="4" t="n"/>
      <c r="D296" s="5" t="n"/>
      <c r="E296" s="5" t="n"/>
      <c r="F296" s="5" t="n"/>
      <c r="G296" s="5" t="n"/>
      <c r="H296" s="5" t="n"/>
      <c r="I296" s="5" t="n"/>
      <c r="J296" s="5" t="n"/>
      <c r="K296" s="6" t="n"/>
      <c r="L296" s="6" t="n"/>
      <c r="M296" s="6" t="n"/>
      <c r="N296" s="5" t="n"/>
      <c r="O296" s="21" t="n"/>
      <c r="P296" s="5" t="n"/>
      <c r="Q296" s="5" t="n"/>
      <c r="R296" s="6" t="n"/>
      <c r="S296" s="4" t="n"/>
      <c r="T296" s="4" t="n"/>
      <c r="U296" s="3">
        <f>IF(C296="","",IF(T296="",TODAY()-C296,T296-C296))</f>
        <v/>
      </c>
      <c r="V296" s="5" t="n"/>
      <c r="W296" s="6" t="n"/>
      <c r="X296" s="3">
        <f>IF(P296="","",IFERROR(VLOOKUP(P296,Parâmetros!$J$2:$K$5,2,FALSE),""))</f>
        <v/>
      </c>
      <c r="Y296" s="4">
        <f>IF(OR(C296="",X296=""),"",C296+X296)</f>
        <v/>
      </c>
      <c r="Z296" s="5">
        <f>IF(C296="","",IF(Q296="Concluído","Concluído",IF(Y296&lt;TODAY(),"Vencido",IF(Y296-TODAY()&lt;=2,"A vencer","No prazo"))))</f>
        <v/>
      </c>
      <c r="AA296" s="3">
        <f>IF(OR(Y296="",Q296="Concluído"),"",Y296-TODAY())</f>
        <v/>
      </c>
      <c r="AB296" s="5" t="n"/>
      <c r="AC296" s="5" t="n"/>
      <c r="AD296" s="4" t="n"/>
    </row>
    <row r="297">
      <c r="A297" s="3">
        <f>IF(C297="","",ROW()-1)</f>
        <v/>
      </c>
      <c r="B297" s="4" t="n"/>
      <c r="C297" s="4" t="n"/>
      <c r="D297" s="5" t="n"/>
      <c r="E297" s="5" t="n"/>
      <c r="F297" s="5" t="n"/>
      <c r="G297" s="5" t="n"/>
      <c r="H297" s="5" t="n"/>
      <c r="I297" s="5" t="n"/>
      <c r="J297" s="5" t="n"/>
      <c r="K297" s="6" t="n"/>
      <c r="L297" s="6" t="n"/>
      <c r="M297" s="6" t="n"/>
      <c r="N297" s="5" t="n"/>
      <c r="O297" s="21" t="n"/>
      <c r="P297" s="5" t="n"/>
      <c r="Q297" s="5" t="n"/>
      <c r="R297" s="6" t="n"/>
      <c r="S297" s="4" t="n"/>
      <c r="T297" s="4" t="n"/>
      <c r="U297" s="3">
        <f>IF(C297="","",IF(T297="",TODAY()-C297,T297-C297))</f>
        <v/>
      </c>
      <c r="V297" s="5" t="n"/>
      <c r="W297" s="6" t="n"/>
      <c r="X297" s="3">
        <f>IF(P297="","",IFERROR(VLOOKUP(P297,Parâmetros!$J$2:$K$5,2,FALSE),""))</f>
        <v/>
      </c>
      <c r="Y297" s="4">
        <f>IF(OR(C297="",X297=""),"",C297+X297)</f>
        <v/>
      </c>
      <c r="Z297" s="5">
        <f>IF(C297="","",IF(Q297="Concluído","Concluído",IF(Y297&lt;TODAY(),"Vencido",IF(Y297-TODAY()&lt;=2,"A vencer","No prazo"))))</f>
        <v/>
      </c>
      <c r="AA297" s="3">
        <f>IF(OR(Y297="",Q297="Concluído"),"",Y297-TODAY())</f>
        <v/>
      </c>
      <c r="AB297" s="5" t="n"/>
      <c r="AC297" s="5" t="n"/>
      <c r="AD297" s="4" t="n"/>
    </row>
    <row r="298">
      <c r="A298" s="3">
        <f>IF(C298="","",ROW()-1)</f>
        <v/>
      </c>
      <c r="B298" s="4" t="n"/>
      <c r="C298" s="4" t="n"/>
      <c r="D298" s="5" t="n"/>
      <c r="E298" s="5" t="n"/>
      <c r="F298" s="5" t="n"/>
      <c r="G298" s="5" t="n"/>
      <c r="H298" s="5" t="n"/>
      <c r="I298" s="5" t="n"/>
      <c r="J298" s="5" t="n"/>
      <c r="K298" s="6" t="n"/>
      <c r="L298" s="6" t="n"/>
      <c r="M298" s="6" t="n"/>
      <c r="N298" s="5" t="n"/>
      <c r="O298" s="21" t="n"/>
      <c r="P298" s="5" t="n"/>
      <c r="Q298" s="5" t="n"/>
      <c r="R298" s="6" t="n"/>
      <c r="S298" s="4" t="n"/>
      <c r="T298" s="4" t="n"/>
      <c r="U298" s="3">
        <f>IF(C298="","",IF(T298="",TODAY()-C298,T298-C298))</f>
        <v/>
      </c>
      <c r="V298" s="5" t="n"/>
      <c r="W298" s="6" t="n"/>
      <c r="X298" s="3">
        <f>IF(P298="","",IFERROR(VLOOKUP(P298,Parâmetros!$J$2:$K$5,2,FALSE),""))</f>
        <v/>
      </c>
      <c r="Y298" s="4">
        <f>IF(OR(C298="",X298=""),"",C298+X298)</f>
        <v/>
      </c>
      <c r="Z298" s="5">
        <f>IF(C298="","",IF(Q298="Concluído","Concluído",IF(Y298&lt;TODAY(),"Vencido",IF(Y298-TODAY()&lt;=2,"A vencer","No prazo"))))</f>
        <v/>
      </c>
      <c r="AA298" s="3">
        <f>IF(OR(Y298="",Q298="Concluído"),"",Y298-TODAY())</f>
        <v/>
      </c>
      <c r="AB298" s="5" t="n"/>
      <c r="AC298" s="5" t="n"/>
      <c r="AD298" s="4" t="n"/>
    </row>
    <row r="299">
      <c r="A299" s="3">
        <f>IF(C299="","",ROW()-1)</f>
        <v/>
      </c>
      <c r="B299" s="4" t="n"/>
      <c r="C299" s="4" t="n"/>
      <c r="D299" s="5" t="n"/>
      <c r="E299" s="5" t="n"/>
      <c r="F299" s="5" t="n"/>
      <c r="G299" s="5" t="n"/>
      <c r="H299" s="5" t="n"/>
      <c r="I299" s="5" t="n"/>
      <c r="J299" s="5" t="n"/>
      <c r="K299" s="6" t="n"/>
      <c r="L299" s="6" t="n"/>
      <c r="M299" s="6" t="n"/>
      <c r="N299" s="5" t="n"/>
      <c r="O299" s="21" t="n"/>
      <c r="P299" s="5" t="n"/>
      <c r="Q299" s="5" t="n"/>
      <c r="R299" s="6" t="n"/>
      <c r="S299" s="4" t="n"/>
      <c r="T299" s="4" t="n"/>
      <c r="U299" s="3">
        <f>IF(C299="","",IF(T299="",TODAY()-C299,T299-C299))</f>
        <v/>
      </c>
      <c r="V299" s="5" t="n"/>
      <c r="W299" s="6" t="n"/>
      <c r="X299" s="3">
        <f>IF(P299="","",IFERROR(VLOOKUP(P299,Parâmetros!$J$2:$K$5,2,FALSE),""))</f>
        <v/>
      </c>
      <c r="Y299" s="4">
        <f>IF(OR(C299="",X299=""),"",C299+X299)</f>
        <v/>
      </c>
      <c r="Z299" s="5">
        <f>IF(C299="","",IF(Q299="Concluído","Concluído",IF(Y299&lt;TODAY(),"Vencido",IF(Y299-TODAY()&lt;=2,"A vencer","No prazo"))))</f>
        <v/>
      </c>
      <c r="AA299" s="3">
        <f>IF(OR(Y299="",Q299="Concluído"),"",Y299-TODAY())</f>
        <v/>
      </c>
      <c r="AB299" s="5" t="n"/>
      <c r="AC299" s="5" t="n"/>
      <c r="AD299" s="4" t="n"/>
    </row>
    <row r="300">
      <c r="A300" s="3">
        <f>IF(C300="","",ROW()-1)</f>
        <v/>
      </c>
      <c r="B300" s="4" t="n"/>
      <c r="C300" s="4" t="n"/>
      <c r="D300" s="5" t="n"/>
      <c r="E300" s="5" t="n"/>
      <c r="F300" s="5" t="n"/>
      <c r="G300" s="5" t="n"/>
      <c r="H300" s="5" t="n"/>
      <c r="I300" s="5" t="n"/>
      <c r="J300" s="5" t="n"/>
      <c r="K300" s="6" t="n"/>
      <c r="L300" s="6" t="n"/>
      <c r="M300" s="6" t="n"/>
      <c r="N300" s="5" t="n"/>
      <c r="O300" s="21" t="n"/>
      <c r="P300" s="5" t="n"/>
      <c r="Q300" s="5" t="n"/>
      <c r="R300" s="6" t="n"/>
      <c r="S300" s="4" t="n"/>
      <c r="T300" s="4" t="n"/>
      <c r="U300" s="3">
        <f>IF(C300="","",IF(T300="",TODAY()-C300,T300-C300))</f>
        <v/>
      </c>
      <c r="V300" s="5" t="n"/>
      <c r="W300" s="6" t="n"/>
      <c r="X300" s="3">
        <f>IF(P300="","",IFERROR(VLOOKUP(P300,Parâmetros!$J$2:$K$5,2,FALSE),""))</f>
        <v/>
      </c>
      <c r="Y300" s="4">
        <f>IF(OR(C300="",X300=""),"",C300+X300)</f>
        <v/>
      </c>
      <c r="Z300" s="5">
        <f>IF(C300="","",IF(Q300="Concluído","Concluído",IF(Y300&lt;TODAY(),"Vencido",IF(Y300-TODAY()&lt;=2,"A vencer","No prazo"))))</f>
        <v/>
      </c>
      <c r="AA300" s="3">
        <f>IF(OR(Y300="",Q300="Concluído"),"",Y300-TODAY())</f>
        <v/>
      </c>
      <c r="AB300" s="5" t="n"/>
      <c r="AC300" s="5" t="n"/>
      <c r="AD300" s="4" t="n"/>
    </row>
    <row r="301">
      <c r="A301" s="3">
        <f>IF(C301="","",ROW()-1)</f>
        <v/>
      </c>
      <c r="B301" s="4" t="n"/>
      <c r="C301" s="4" t="n"/>
      <c r="D301" s="5" t="n"/>
      <c r="E301" s="5" t="n"/>
      <c r="F301" s="5" t="n"/>
      <c r="G301" s="5" t="n"/>
      <c r="H301" s="5" t="n"/>
      <c r="I301" s="5" t="n"/>
      <c r="J301" s="5" t="n"/>
      <c r="K301" s="6" t="n"/>
      <c r="L301" s="6" t="n"/>
      <c r="M301" s="6" t="n"/>
      <c r="N301" s="5" t="n"/>
      <c r="O301" s="21" t="n"/>
      <c r="P301" s="5" t="n"/>
      <c r="Q301" s="5" t="n"/>
      <c r="R301" s="6" t="n"/>
      <c r="S301" s="4" t="n"/>
      <c r="T301" s="4" t="n"/>
      <c r="U301" s="3">
        <f>IF(C301="","",IF(T301="",TODAY()-C301,T301-C301))</f>
        <v/>
      </c>
      <c r="V301" s="5" t="n"/>
      <c r="W301" s="6" t="n"/>
      <c r="X301" s="3">
        <f>IF(P301="","",IFERROR(VLOOKUP(P301,Parâmetros!$J$2:$K$5,2,FALSE),""))</f>
        <v/>
      </c>
      <c r="Y301" s="4">
        <f>IF(OR(C301="",X301=""),"",C301+X301)</f>
        <v/>
      </c>
      <c r="Z301" s="5">
        <f>IF(C301="","",IF(Q301="Concluído","Concluído",IF(Y301&lt;TODAY(),"Vencido",IF(Y301-TODAY()&lt;=2,"A vencer","No prazo"))))</f>
        <v/>
      </c>
      <c r="AA301" s="3">
        <f>IF(OR(Y301="",Q301="Concluído"),"",Y301-TODAY())</f>
        <v/>
      </c>
      <c r="AB301" s="5" t="n"/>
      <c r="AC301" s="5" t="n"/>
      <c r="AD301" s="4" t="n"/>
    </row>
    <row r="302">
      <c r="A302" s="3">
        <f>IF(C302="","",ROW()-1)</f>
        <v/>
      </c>
      <c r="B302" s="4" t="n"/>
      <c r="C302" s="4" t="n"/>
      <c r="D302" s="5" t="n"/>
      <c r="E302" s="5" t="n"/>
      <c r="F302" s="5" t="n"/>
      <c r="G302" s="5" t="n"/>
      <c r="H302" s="5" t="n"/>
      <c r="I302" s="5" t="n"/>
      <c r="J302" s="5" t="n"/>
      <c r="K302" s="6" t="n"/>
      <c r="L302" s="6" t="n"/>
      <c r="M302" s="6" t="n"/>
      <c r="N302" s="5" t="n"/>
      <c r="O302" s="21" t="n"/>
      <c r="P302" s="5" t="n"/>
      <c r="Q302" s="5" t="n"/>
      <c r="R302" s="6" t="n"/>
      <c r="S302" s="4" t="n"/>
      <c r="T302" s="4" t="n"/>
      <c r="U302" s="3">
        <f>IF(C302="","",IF(T302="",TODAY()-C302,T302-C302))</f>
        <v/>
      </c>
      <c r="V302" s="5" t="n"/>
      <c r="W302" s="6" t="n"/>
      <c r="X302" s="3">
        <f>IF(P302="","",IFERROR(VLOOKUP(P302,Parâmetros!$J$2:$K$5,2,FALSE),""))</f>
        <v/>
      </c>
      <c r="Y302" s="4">
        <f>IF(OR(C302="",X302=""),"",C302+X302)</f>
        <v/>
      </c>
      <c r="Z302" s="5">
        <f>IF(C302="","",IF(Q302="Concluído","Concluído",IF(Y302&lt;TODAY(),"Vencido",IF(Y302-TODAY()&lt;=2,"A vencer","No prazo"))))</f>
        <v/>
      </c>
      <c r="AA302" s="3">
        <f>IF(OR(Y302="",Q302="Concluído"),"",Y302-TODAY())</f>
        <v/>
      </c>
      <c r="AB302" s="5" t="n"/>
      <c r="AC302" s="5" t="n"/>
      <c r="AD302" s="4" t="n"/>
    </row>
    <row r="303">
      <c r="A303" s="3">
        <f>IF(C303="","",ROW()-1)</f>
        <v/>
      </c>
      <c r="B303" s="4" t="n"/>
      <c r="C303" s="4" t="n"/>
      <c r="D303" s="5" t="n"/>
      <c r="E303" s="5" t="n"/>
      <c r="F303" s="5" t="n"/>
      <c r="G303" s="5" t="n"/>
      <c r="H303" s="5" t="n"/>
      <c r="I303" s="5" t="n"/>
      <c r="J303" s="5" t="n"/>
      <c r="K303" s="6" t="n"/>
      <c r="L303" s="6" t="n"/>
      <c r="M303" s="6" t="n"/>
      <c r="N303" s="5" t="n"/>
      <c r="O303" s="21" t="n"/>
      <c r="P303" s="5" t="n"/>
      <c r="Q303" s="5" t="n"/>
      <c r="R303" s="6" t="n"/>
      <c r="S303" s="4" t="n"/>
      <c r="T303" s="4" t="n"/>
      <c r="U303" s="3">
        <f>IF(C303="","",IF(T303="",TODAY()-C303,T303-C303))</f>
        <v/>
      </c>
      <c r="V303" s="5" t="n"/>
      <c r="W303" s="6" t="n"/>
      <c r="X303" s="3">
        <f>IF(P303="","",IFERROR(VLOOKUP(P303,Parâmetros!$J$2:$K$5,2,FALSE),""))</f>
        <v/>
      </c>
      <c r="Y303" s="4">
        <f>IF(OR(C303="",X303=""),"",C303+X303)</f>
        <v/>
      </c>
      <c r="Z303" s="5">
        <f>IF(C303="","",IF(Q303="Concluído","Concluído",IF(Y303&lt;TODAY(),"Vencido",IF(Y303-TODAY()&lt;=2,"A vencer","No prazo"))))</f>
        <v/>
      </c>
      <c r="AA303" s="3">
        <f>IF(OR(Y303="",Q303="Concluído"),"",Y303-TODAY())</f>
        <v/>
      </c>
      <c r="AB303" s="5" t="n"/>
      <c r="AC303" s="5" t="n"/>
      <c r="AD303" s="4" t="n"/>
    </row>
    <row r="304">
      <c r="A304" s="3">
        <f>IF(C304="","",ROW()-1)</f>
        <v/>
      </c>
      <c r="B304" s="4" t="n"/>
      <c r="C304" s="4" t="n"/>
      <c r="D304" s="5" t="n"/>
      <c r="E304" s="5" t="n"/>
      <c r="F304" s="5" t="n"/>
      <c r="G304" s="5" t="n"/>
      <c r="H304" s="5" t="n"/>
      <c r="I304" s="5" t="n"/>
      <c r="J304" s="5" t="n"/>
      <c r="K304" s="6" t="n"/>
      <c r="L304" s="6" t="n"/>
      <c r="M304" s="6" t="n"/>
      <c r="N304" s="5" t="n"/>
      <c r="O304" s="21" t="n"/>
      <c r="P304" s="5" t="n"/>
      <c r="Q304" s="5" t="n"/>
      <c r="R304" s="6" t="n"/>
      <c r="S304" s="4" t="n"/>
      <c r="T304" s="4" t="n"/>
      <c r="U304" s="3">
        <f>IF(C304="","",IF(T304="",TODAY()-C304,T304-C304))</f>
        <v/>
      </c>
      <c r="V304" s="5" t="n"/>
      <c r="W304" s="6" t="n"/>
      <c r="X304" s="3">
        <f>IF(P304="","",IFERROR(VLOOKUP(P304,Parâmetros!$J$2:$K$5,2,FALSE),""))</f>
        <v/>
      </c>
      <c r="Y304" s="4">
        <f>IF(OR(C304="",X304=""),"",C304+X304)</f>
        <v/>
      </c>
      <c r="Z304" s="5">
        <f>IF(C304="","",IF(Q304="Concluído","Concluído",IF(Y304&lt;TODAY(),"Vencido",IF(Y304-TODAY()&lt;=2,"A vencer","No prazo"))))</f>
        <v/>
      </c>
      <c r="AA304" s="3">
        <f>IF(OR(Y304="",Q304="Concluído"),"",Y304-TODAY())</f>
        <v/>
      </c>
      <c r="AB304" s="5" t="n"/>
      <c r="AC304" s="5" t="n"/>
      <c r="AD304" s="4" t="n"/>
    </row>
    <row r="305">
      <c r="A305" s="3">
        <f>IF(C305="","",ROW()-1)</f>
        <v/>
      </c>
      <c r="B305" s="4" t="n"/>
      <c r="C305" s="4" t="n"/>
      <c r="D305" s="5" t="n"/>
      <c r="E305" s="5" t="n"/>
      <c r="F305" s="5" t="n"/>
      <c r="G305" s="5" t="n"/>
      <c r="H305" s="5" t="n"/>
      <c r="I305" s="5" t="n"/>
      <c r="J305" s="5" t="n"/>
      <c r="K305" s="6" t="n"/>
      <c r="L305" s="6" t="n"/>
      <c r="M305" s="6" t="n"/>
      <c r="N305" s="5" t="n"/>
      <c r="O305" s="21" t="n"/>
      <c r="P305" s="5" t="n"/>
      <c r="Q305" s="5" t="n"/>
      <c r="R305" s="6" t="n"/>
      <c r="S305" s="4" t="n"/>
      <c r="T305" s="4" t="n"/>
      <c r="U305" s="3">
        <f>IF(C305="","",IF(T305="",TODAY()-C305,T305-C305))</f>
        <v/>
      </c>
      <c r="V305" s="5" t="n"/>
      <c r="W305" s="6" t="n"/>
      <c r="X305" s="3">
        <f>IF(P305="","",IFERROR(VLOOKUP(P305,Parâmetros!$J$2:$K$5,2,FALSE),""))</f>
        <v/>
      </c>
      <c r="Y305" s="4">
        <f>IF(OR(C305="",X305=""),"",C305+X305)</f>
        <v/>
      </c>
      <c r="Z305" s="5">
        <f>IF(C305="","",IF(Q305="Concluído","Concluído",IF(Y305&lt;TODAY(),"Vencido",IF(Y305-TODAY()&lt;=2,"A vencer","No prazo"))))</f>
        <v/>
      </c>
      <c r="AA305" s="3">
        <f>IF(OR(Y305="",Q305="Concluído"),"",Y305-TODAY())</f>
        <v/>
      </c>
      <c r="AB305" s="5" t="n"/>
      <c r="AC305" s="5" t="n"/>
      <c r="AD305" s="4" t="n"/>
    </row>
    <row r="306">
      <c r="A306" s="3">
        <f>IF(C306="","",ROW()-1)</f>
        <v/>
      </c>
      <c r="B306" s="4" t="n"/>
      <c r="C306" s="4" t="n"/>
      <c r="D306" s="5" t="n"/>
      <c r="E306" s="5" t="n"/>
      <c r="F306" s="5" t="n"/>
      <c r="G306" s="5" t="n"/>
      <c r="H306" s="5" t="n"/>
      <c r="I306" s="5" t="n"/>
      <c r="J306" s="5" t="n"/>
      <c r="K306" s="6" t="n"/>
      <c r="L306" s="6" t="n"/>
      <c r="M306" s="6" t="n"/>
      <c r="N306" s="5" t="n"/>
      <c r="O306" s="21" t="n"/>
      <c r="P306" s="5" t="n"/>
      <c r="Q306" s="5" t="n"/>
      <c r="R306" s="6" t="n"/>
      <c r="S306" s="4" t="n"/>
      <c r="T306" s="4" t="n"/>
      <c r="U306" s="3">
        <f>IF(C306="","",IF(T306="",TODAY()-C306,T306-C306))</f>
        <v/>
      </c>
      <c r="V306" s="5" t="n"/>
      <c r="W306" s="6" t="n"/>
      <c r="X306" s="3">
        <f>IF(P306="","",IFERROR(VLOOKUP(P306,Parâmetros!$J$2:$K$5,2,FALSE),""))</f>
        <v/>
      </c>
      <c r="Y306" s="4">
        <f>IF(OR(C306="",X306=""),"",C306+X306)</f>
        <v/>
      </c>
      <c r="Z306" s="5">
        <f>IF(C306="","",IF(Q306="Concluído","Concluído",IF(Y306&lt;TODAY(),"Vencido",IF(Y306-TODAY()&lt;=2,"A vencer","No prazo"))))</f>
        <v/>
      </c>
      <c r="AA306" s="3">
        <f>IF(OR(Y306="",Q306="Concluído"),"",Y306-TODAY())</f>
        <v/>
      </c>
      <c r="AB306" s="5" t="n"/>
      <c r="AC306" s="5" t="n"/>
      <c r="AD306" s="4" t="n"/>
    </row>
    <row r="307">
      <c r="A307" s="3">
        <f>IF(C307="","",ROW()-1)</f>
        <v/>
      </c>
      <c r="B307" s="4" t="n"/>
      <c r="C307" s="4" t="n"/>
      <c r="D307" s="5" t="n"/>
      <c r="E307" s="5" t="n"/>
      <c r="F307" s="5" t="n"/>
      <c r="G307" s="5" t="n"/>
      <c r="H307" s="5" t="n"/>
      <c r="I307" s="5" t="n"/>
      <c r="J307" s="5" t="n"/>
      <c r="K307" s="6" t="n"/>
      <c r="L307" s="6" t="n"/>
      <c r="M307" s="6" t="n"/>
      <c r="N307" s="5" t="n"/>
      <c r="O307" s="21" t="n"/>
      <c r="P307" s="5" t="n"/>
      <c r="Q307" s="5" t="n"/>
      <c r="R307" s="6" t="n"/>
      <c r="S307" s="4" t="n"/>
      <c r="T307" s="4" t="n"/>
      <c r="U307" s="3">
        <f>IF(C307="","",IF(T307="",TODAY()-C307,T307-C307))</f>
        <v/>
      </c>
      <c r="V307" s="5" t="n"/>
      <c r="W307" s="6" t="n"/>
      <c r="X307" s="3">
        <f>IF(P307="","",IFERROR(VLOOKUP(P307,Parâmetros!$J$2:$K$5,2,FALSE),""))</f>
        <v/>
      </c>
      <c r="Y307" s="4">
        <f>IF(OR(C307="",X307=""),"",C307+X307)</f>
        <v/>
      </c>
      <c r="Z307" s="5">
        <f>IF(C307="","",IF(Q307="Concluído","Concluído",IF(Y307&lt;TODAY(),"Vencido",IF(Y307-TODAY()&lt;=2,"A vencer","No prazo"))))</f>
        <v/>
      </c>
      <c r="AA307" s="3">
        <f>IF(OR(Y307="",Q307="Concluído"),"",Y307-TODAY())</f>
        <v/>
      </c>
      <c r="AB307" s="5" t="n"/>
      <c r="AC307" s="5" t="n"/>
      <c r="AD307" s="4" t="n"/>
    </row>
    <row r="308">
      <c r="A308" s="3">
        <f>IF(C308="","",ROW()-1)</f>
        <v/>
      </c>
      <c r="B308" s="4" t="n"/>
      <c r="C308" s="4" t="n"/>
      <c r="D308" s="5" t="n"/>
      <c r="E308" s="5" t="n"/>
      <c r="F308" s="5" t="n"/>
      <c r="G308" s="5" t="n"/>
      <c r="H308" s="5" t="n"/>
      <c r="I308" s="5" t="n"/>
      <c r="J308" s="5" t="n"/>
      <c r="K308" s="6" t="n"/>
      <c r="L308" s="6" t="n"/>
      <c r="M308" s="6" t="n"/>
      <c r="N308" s="5" t="n"/>
      <c r="O308" s="21" t="n"/>
      <c r="P308" s="5" t="n"/>
      <c r="Q308" s="5" t="n"/>
      <c r="R308" s="6" t="n"/>
      <c r="S308" s="4" t="n"/>
      <c r="T308" s="4" t="n"/>
      <c r="U308" s="3">
        <f>IF(C308="","",IF(T308="",TODAY()-C308,T308-C308))</f>
        <v/>
      </c>
      <c r="V308" s="5" t="n"/>
      <c r="W308" s="6" t="n"/>
      <c r="X308" s="3">
        <f>IF(P308="","",IFERROR(VLOOKUP(P308,Parâmetros!$J$2:$K$5,2,FALSE),""))</f>
        <v/>
      </c>
      <c r="Y308" s="4">
        <f>IF(OR(C308="",X308=""),"",C308+X308)</f>
        <v/>
      </c>
      <c r="Z308" s="5">
        <f>IF(C308="","",IF(Q308="Concluído","Concluído",IF(Y308&lt;TODAY(),"Vencido",IF(Y308-TODAY()&lt;=2,"A vencer","No prazo"))))</f>
        <v/>
      </c>
      <c r="AA308" s="3">
        <f>IF(OR(Y308="",Q308="Concluído"),"",Y308-TODAY())</f>
        <v/>
      </c>
      <c r="AB308" s="5" t="n"/>
      <c r="AC308" s="5" t="n"/>
      <c r="AD308" s="4" t="n"/>
    </row>
    <row r="309">
      <c r="A309" s="3">
        <f>IF(C309="","",ROW()-1)</f>
        <v/>
      </c>
      <c r="B309" s="4" t="n"/>
      <c r="C309" s="4" t="n"/>
      <c r="D309" s="5" t="n"/>
      <c r="E309" s="5" t="n"/>
      <c r="F309" s="5" t="n"/>
      <c r="G309" s="5" t="n"/>
      <c r="H309" s="5" t="n"/>
      <c r="I309" s="5" t="n"/>
      <c r="J309" s="5" t="n"/>
      <c r="K309" s="6" t="n"/>
      <c r="L309" s="6" t="n"/>
      <c r="M309" s="6" t="n"/>
      <c r="N309" s="5" t="n"/>
      <c r="O309" s="21" t="n"/>
      <c r="P309" s="5" t="n"/>
      <c r="Q309" s="5" t="n"/>
      <c r="R309" s="6" t="n"/>
      <c r="S309" s="4" t="n"/>
      <c r="T309" s="4" t="n"/>
      <c r="U309" s="3">
        <f>IF(C309="","",IF(T309="",TODAY()-C309,T309-C309))</f>
        <v/>
      </c>
      <c r="V309" s="5" t="n"/>
      <c r="W309" s="6" t="n"/>
      <c r="X309" s="3">
        <f>IF(P309="","",IFERROR(VLOOKUP(P309,Parâmetros!$J$2:$K$5,2,FALSE),""))</f>
        <v/>
      </c>
      <c r="Y309" s="4">
        <f>IF(OR(C309="",X309=""),"",C309+X309)</f>
        <v/>
      </c>
      <c r="Z309" s="5">
        <f>IF(C309="","",IF(Q309="Concluído","Concluído",IF(Y309&lt;TODAY(),"Vencido",IF(Y309-TODAY()&lt;=2,"A vencer","No prazo"))))</f>
        <v/>
      </c>
      <c r="AA309" s="3">
        <f>IF(OR(Y309="",Q309="Concluído"),"",Y309-TODAY())</f>
        <v/>
      </c>
      <c r="AB309" s="5" t="n"/>
      <c r="AC309" s="5" t="n"/>
      <c r="AD309" s="4" t="n"/>
    </row>
    <row r="310">
      <c r="A310" s="3">
        <f>IF(C310="","",ROW()-1)</f>
        <v/>
      </c>
      <c r="B310" s="4" t="n"/>
      <c r="C310" s="4" t="n"/>
      <c r="D310" s="5" t="n"/>
      <c r="E310" s="5" t="n"/>
      <c r="F310" s="5" t="n"/>
      <c r="G310" s="5" t="n"/>
      <c r="H310" s="5" t="n"/>
      <c r="I310" s="5" t="n"/>
      <c r="J310" s="5" t="n"/>
      <c r="K310" s="6" t="n"/>
      <c r="L310" s="6" t="n"/>
      <c r="M310" s="6" t="n"/>
      <c r="N310" s="5" t="n"/>
      <c r="O310" s="21" t="n"/>
      <c r="P310" s="5" t="n"/>
      <c r="Q310" s="5" t="n"/>
      <c r="R310" s="6" t="n"/>
      <c r="S310" s="4" t="n"/>
      <c r="T310" s="4" t="n"/>
      <c r="U310" s="3">
        <f>IF(C310="","",IF(T310="",TODAY()-C310,T310-C310))</f>
        <v/>
      </c>
      <c r="V310" s="5" t="n"/>
      <c r="W310" s="6" t="n"/>
      <c r="X310" s="3">
        <f>IF(P310="","",IFERROR(VLOOKUP(P310,Parâmetros!$J$2:$K$5,2,FALSE),""))</f>
        <v/>
      </c>
      <c r="Y310" s="4">
        <f>IF(OR(C310="",X310=""),"",C310+X310)</f>
        <v/>
      </c>
      <c r="Z310" s="5">
        <f>IF(C310="","",IF(Q310="Concluído","Concluído",IF(Y310&lt;TODAY(),"Vencido",IF(Y310-TODAY()&lt;=2,"A vencer","No prazo"))))</f>
        <v/>
      </c>
      <c r="AA310" s="3">
        <f>IF(OR(Y310="",Q310="Concluído"),"",Y310-TODAY())</f>
        <v/>
      </c>
      <c r="AB310" s="5" t="n"/>
      <c r="AC310" s="5" t="n"/>
      <c r="AD310" s="4" t="n"/>
    </row>
    <row r="311">
      <c r="A311" s="3">
        <f>IF(C311="","",ROW()-1)</f>
        <v/>
      </c>
      <c r="B311" s="4" t="n"/>
      <c r="C311" s="4" t="n"/>
      <c r="D311" s="5" t="n"/>
      <c r="E311" s="5" t="n"/>
      <c r="F311" s="5" t="n"/>
      <c r="G311" s="5" t="n"/>
      <c r="H311" s="5" t="n"/>
      <c r="I311" s="5" t="n"/>
      <c r="J311" s="5" t="n"/>
      <c r="K311" s="6" t="n"/>
      <c r="L311" s="6" t="n"/>
      <c r="M311" s="6" t="n"/>
      <c r="N311" s="5" t="n"/>
      <c r="O311" s="21" t="n"/>
      <c r="P311" s="5" t="n"/>
      <c r="Q311" s="5" t="n"/>
      <c r="R311" s="6" t="n"/>
      <c r="S311" s="4" t="n"/>
      <c r="T311" s="4" t="n"/>
      <c r="U311" s="3">
        <f>IF(C311="","",IF(T311="",TODAY()-C311,T311-C311))</f>
        <v/>
      </c>
      <c r="V311" s="5" t="n"/>
      <c r="W311" s="6" t="n"/>
      <c r="X311" s="3">
        <f>IF(P311="","",IFERROR(VLOOKUP(P311,Parâmetros!$J$2:$K$5,2,FALSE),""))</f>
        <v/>
      </c>
      <c r="Y311" s="4">
        <f>IF(OR(C311="",X311=""),"",C311+X311)</f>
        <v/>
      </c>
      <c r="Z311" s="5">
        <f>IF(C311="","",IF(Q311="Concluído","Concluído",IF(Y311&lt;TODAY(),"Vencido",IF(Y311-TODAY()&lt;=2,"A vencer","No prazo"))))</f>
        <v/>
      </c>
      <c r="AA311" s="3">
        <f>IF(OR(Y311="",Q311="Concluído"),"",Y311-TODAY())</f>
        <v/>
      </c>
      <c r="AB311" s="5" t="n"/>
      <c r="AC311" s="5" t="n"/>
      <c r="AD311" s="4" t="n"/>
    </row>
    <row r="312">
      <c r="A312" s="3">
        <f>IF(C312="","",ROW()-1)</f>
        <v/>
      </c>
      <c r="B312" s="4" t="n"/>
      <c r="C312" s="4" t="n"/>
      <c r="D312" s="5" t="n"/>
      <c r="E312" s="5" t="n"/>
      <c r="F312" s="5" t="n"/>
      <c r="G312" s="5" t="n"/>
      <c r="H312" s="5" t="n"/>
      <c r="I312" s="5" t="n"/>
      <c r="J312" s="5" t="n"/>
      <c r="K312" s="6" t="n"/>
      <c r="L312" s="6" t="n"/>
      <c r="M312" s="6" t="n"/>
      <c r="N312" s="5" t="n"/>
      <c r="O312" s="21" t="n"/>
      <c r="P312" s="5" t="n"/>
      <c r="Q312" s="5" t="n"/>
      <c r="R312" s="6" t="n"/>
      <c r="S312" s="4" t="n"/>
      <c r="T312" s="4" t="n"/>
      <c r="U312" s="3">
        <f>IF(C312="","",IF(T312="",TODAY()-C312,T312-C312))</f>
        <v/>
      </c>
      <c r="V312" s="5" t="n"/>
      <c r="W312" s="6" t="n"/>
      <c r="X312" s="3">
        <f>IF(P312="","",IFERROR(VLOOKUP(P312,Parâmetros!$J$2:$K$5,2,FALSE),""))</f>
        <v/>
      </c>
      <c r="Y312" s="4">
        <f>IF(OR(C312="",X312=""),"",C312+X312)</f>
        <v/>
      </c>
      <c r="Z312" s="5">
        <f>IF(C312="","",IF(Q312="Concluído","Concluído",IF(Y312&lt;TODAY(),"Vencido",IF(Y312-TODAY()&lt;=2,"A vencer","No prazo"))))</f>
        <v/>
      </c>
      <c r="AA312" s="3">
        <f>IF(OR(Y312="",Q312="Concluído"),"",Y312-TODAY())</f>
        <v/>
      </c>
      <c r="AB312" s="5" t="n"/>
      <c r="AC312" s="5" t="n"/>
      <c r="AD312" s="4" t="n"/>
    </row>
    <row r="313">
      <c r="A313" s="3">
        <f>IF(C313="","",ROW()-1)</f>
        <v/>
      </c>
      <c r="B313" s="4" t="n"/>
      <c r="C313" s="4" t="n"/>
      <c r="D313" s="5" t="n"/>
      <c r="E313" s="5" t="n"/>
      <c r="F313" s="5" t="n"/>
      <c r="G313" s="5" t="n"/>
      <c r="H313" s="5" t="n"/>
      <c r="I313" s="5" t="n"/>
      <c r="J313" s="5" t="n"/>
      <c r="K313" s="6" t="n"/>
      <c r="L313" s="6" t="n"/>
      <c r="M313" s="6" t="n"/>
      <c r="N313" s="5" t="n"/>
      <c r="O313" s="21" t="n"/>
      <c r="P313" s="5" t="n"/>
      <c r="Q313" s="5" t="n"/>
      <c r="R313" s="6" t="n"/>
      <c r="S313" s="4" t="n"/>
      <c r="T313" s="4" t="n"/>
      <c r="U313" s="3">
        <f>IF(C313="","",IF(T313="",TODAY()-C313,T313-C313))</f>
        <v/>
      </c>
      <c r="V313" s="5" t="n"/>
      <c r="W313" s="6" t="n"/>
      <c r="X313" s="3">
        <f>IF(P313="","",IFERROR(VLOOKUP(P313,Parâmetros!$J$2:$K$5,2,FALSE),""))</f>
        <v/>
      </c>
      <c r="Y313" s="4">
        <f>IF(OR(C313="",X313=""),"",C313+X313)</f>
        <v/>
      </c>
      <c r="Z313" s="5">
        <f>IF(C313="","",IF(Q313="Concluído","Concluído",IF(Y313&lt;TODAY(),"Vencido",IF(Y313-TODAY()&lt;=2,"A vencer","No prazo"))))</f>
        <v/>
      </c>
      <c r="AA313" s="3">
        <f>IF(OR(Y313="",Q313="Concluído"),"",Y313-TODAY())</f>
        <v/>
      </c>
      <c r="AB313" s="5" t="n"/>
      <c r="AC313" s="5" t="n"/>
      <c r="AD313" s="4" t="n"/>
    </row>
    <row r="314">
      <c r="A314" s="3">
        <f>IF(C314="","",ROW()-1)</f>
        <v/>
      </c>
      <c r="B314" s="4" t="n"/>
      <c r="C314" s="4" t="n"/>
      <c r="D314" s="5" t="n"/>
      <c r="E314" s="5" t="n"/>
      <c r="F314" s="5" t="n"/>
      <c r="G314" s="5" t="n"/>
      <c r="H314" s="5" t="n"/>
      <c r="I314" s="5" t="n"/>
      <c r="J314" s="5" t="n"/>
      <c r="K314" s="6" t="n"/>
      <c r="L314" s="6" t="n"/>
      <c r="M314" s="6" t="n"/>
      <c r="N314" s="5" t="n"/>
      <c r="O314" s="21" t="n"/>
      <c r="P314" s="5" t="n"/>
      <c r="Q314" s="5" t="n"/>
      <c r="R314" s="6" t="n"/>
      <c r="S314" s="4" t="n"/>
      <c r="T314" s="4" t="n"/>
      <c r="U314" s="3">
        <f>IF(C314="","",IF(T314="",TODAY()-C314,T314-C314))</f>
        <v/>
      </c>
      <c r="V314" s="5" t="n"/>
      <c r="W314" s="6" t="n"/>
      <c r="X314" s="3">
        <f>IF(P314="","",IFERROR(VLOOKUP(P314,Parâmetros!$J$2:$K$5,2,FALSE),""))</f>
        <v/>
      </c>
      <c r="Y314" s="4">
        <f>IF(OR(C314="",X314=""),"",C314+X314)</f>
        <v/>
      </c>
      <c r="Z314" s="5">
        <f>IF(C314="","",IF(Q314="Concluído","Concluído",IF(Y314&lt;TODAY(),"Vencido",IF(Y314-TODAY()&lt;=2,"A vencer","No prazo"))))</f>
        <v/>
      </c>
      <c r="AA314" s="3">
        <f>IF(OR(Y314="",Q314="Concluído"),"",Y314-TODAY())</f>
        <v/>
      </c>
      <c r="AB314" s="5" t="n"/>
      <c r="AC314" s="5" t="n"/>
      <c r="AD314" s="4" t="n"/>
    </row>
    <row r="315">
      <c r="A315" s="3">
        <f>IF(C315="","",ROW()-1)</f>
        <v/>
      </c>
      <c r="B315" s="4" t="n"/>
      <c r="C315" s="4" t="n"/>
      <c r="D315" s="5" t="n"/>
      <c r="E315" s="5" t="n"/>
      <c r="F315" s="5" t="n"/>
      <c r="G315" s="5" t="n"/>
      <c r="H315" s="5" t="n"/>
      <c r="I315" s="5" t="n"/>
      <c r="J315" s="5" t="n"/>
      <c r="K315" s="6" t="n"/>
      <c r="L315" s="6" t="n"/>
      <c r="M315" s="6" t="n"/>
      <c r="N315" s="5" t="n"/>
      <c r="O315" s="21" t="n"/>
      <c r="P315" s="5" t="n"/>
      <c r="Q315" s="5" t="n"/>
      <c r="R315" s="6" t="n"/>
      <c r="S315" s="4" t="n"/>
      <c r="T315" s="4" t="n"/>
      <c r="U315" s="3">
        <f>IF(C315="","",IF(T315="",TODAY()-C315,T315-C315))</f>
        <v/>
      </c>
      <c r="V315" s="5" t="n"/>
      <c r="W315" s="6" t="n"/>
      <c r="X315" s="3">
        <f>IF(P315="","",IFERROR(VLOOKUP(P315,Parâmetros!$J$2:$K$5,2,FALSE),""))</f>
        <v/>
      </c>
      <c r="Y315" s="4">
        <f>IF(OR(C315="",X315=""),"",C315+X315)</f>
        <v/>
      </c>
      <c r="Z315" s="5">
        <f>IF(C315="","",IF(Q315="Concluído","Concluído",IF(Y315&lt;TODAY(),"Vencido",IF(Y315-TODAY()&lt;=2,"A vencer","No prazo"))))</f>
        <v/>
      </c>
      <c r="AA315" s="3">
        <f>IF(OR(Y315="",Q315="Concluído"),"",Y315-TODAY())</f>
        <v/>
      </c>
      <c r="AB315" s="5" t="n"/>
      <c r="AC315" s="5" t="n"/>
      <c r="AD315" s="4" t="n"/>
    </row>
    <row r="316">
      <c r="A316" s="3">
        <f>IF(C316="","",ROW()-1)</f>
        <v/>
      </c>
      <c r="B316" s="4" t="n"/>
      <c r="C316" s="4" t="n"/>
      <c r="D316" s="5" t="n"/>
      <c r="E316" s="5" t="n"/>
      <c r="F316" s="5" t="n"/>
      <c r="G316" s="5" t="n"/>
      <c r="H316" s="5" t="n"/>
      <c r="I316" s="5" t="n"/>
      <c r="J316" s="5" t="n"/>
      <c r="K316" s="6" t="n"/>
      <c r="L316" s="6" t="n"/>
      <c r="M316" s="6" t="n"/>
      <c r="N316" s="5" t="n"/>
      <c r="O316" s="21" t="n"/>
      <c r="P316" s="5" t="n"/>
      <c r="Q316" s="5" t="n"/>
      <c r="R316" s="6" t="n"/>
      <c r="S316" s="4" t="n"/>
      <c r="T316" s="4" t="n"/>
      <c r="U316" s="3">
        <f>IF(C316="","",IF(T316="",TODAY()-C316,T316-C316))</f>
        <v/>
      </c>
      <c r="V316" s="5" t="n"/>
      <c r="W316" s="6" t="n"/>
      <c r="X316" s="3">
        <f>IF(P316="","",IFERROR(VLOOKUP(P316,Parâmetros!$J$2:$K$5,2,FALSE),""))</f>
        <v/>
      </c>
      <c r="Y316" s="4">
        <f>IF(OR(C316="",X316=""),"",C316+X316)</f>
        <v/>
      </c>
      <c r="Z316" s="5">
        <f>IF(C316="","",IF(Q316="Concluído","Concluído",IF(Y316&lt;TODAY(),"Vencido",IF(Y316-TODAY()&lt;=2,"A vencer","No prazo"))))</f>
        <v/>
      </c>
      <c r="AA316" s="3">
        <f>IF(OR(Y316="",Q316="Concluído"),"",Y316-TODAY())</f>
        <v/>
      </c>
      <c r="AB316" s="5" t="n"/>
      <c r="AC316" s="5" t="n"/>
      <c r="AD316" s="4" t="n"/>
    </row>
    <row r="317">
      <c r="A317" s="3">
        <f>IF(C317="","",ROW()-1)</f>
        <v/>
      </c>
      <c r="B317" s="4" t="n"/>
      <c r="C317" s="4" t="n"/>
      <c r="D317" s="5" t="n"/>
      <c r="E317" s="5" t="n"/>
      <c r="F317" s="5" t="n"/>
      <c r="G317" s="5" t="n"/>
      <c r="H317" s="5" t="n"/>
      <c r="I317" s="5" t="n"/>
      <c r="J317" s="5" t="n"/>
      <c r="K317" s="6" t="n"/>
      <c r="L317" s="6" t="n"/>
      <c r="M317" s="6" t="n"/>
      <c r="N317" s="5" t="n"/>
      <c r="O317" s="21" t="n"/>
      <c r="P317" s="5" t="n"/>
      <c r="Q317" s="5" t="n"/>
      <c r="R317" s="6" t="n"/>
      <c r="S317" s="4" t="n"/>
      <c r="T317" s="4" t="n"/>
      <c r="U317" s="3">
        <f>IF(C317="","",IF(T317="",TODAY()-C317,T317-C317))</f>
        <v/>
      </c>
      <c r="V317" s="5" t="n"/>
      <c r="W317" s="6" t="n"/>
      <c r="X317" s="3">
        <f>IF(P317="","",IFERROR(VLOOKUP(P317,Parâmetros!$J$2:$K$5,2,FALSE),""))</f>
        <v/>
      </c>
      <c r="Y317" s="4">
        <f>IF(OR(C317="",X317=""),"",C317+X317)</f>
        <v/>
      </c>
      <c r="Z317" s="5">
        <f>IF(C317="","",IF(Q317="Concluído","Concluído",IF(Y317&lt;TODAY(),"Vencido",IF(Y317-TODAY()&lt;=2,"A vencer","No prazo"))))</f>
        <v/>
      </c>
      <c r="AA317" s="3">
        <f>IF(OR(Y317="",Q317="Concluído"),"",Y317-TODAY())</f>
        <v/>
      </c>
      <c r="AB317" s="5" t="n"/>
      <c r="AC317" s="5" t="n"/>
      <c r="AD317" s="4" t="n"/>
    </row>
    <row r="318">
      <c r="A318" s="3">
        <f>IF(C318="","",ROW()-1)</f>
        <v/>
      </c>
      <c r="B318" s="4" t="n"/>
      <c r="C318" s="4" t="n"/>
      <c r="D318" s="5" t="n"/>
      <c r="E318" s="5" t="n"/>
      <c r="F318" s="5" t="n"/>
      <c r="G318" s="5" t="n"/>
      <c r="H318" s="5" t="n"/>
      <c r="I318" s="5" t="n"/>
      <c r="J318" s="5" t="n"/>
      <c r="K318" s="6" t="n"/>
      <c r="L318" s="6" t="n"/>
      <c r="M318" s="6" t="n"/>
      <c r="N318" s="5" t="n"/>
      <c r="O318" s="21" t="n"/>
      <c r="P318" s="5" t="n"/>
      <c r="Q318" s="5" t="n"/>
      <c r="R318" s="6" t="n"/>
      <c r="S318" s="4" t="n"/>
      <c r="T318" s="4" t="n"/>
      <c r="U318" s="3">
        <f>IF(C318="","",IF(T318="",TODAY()-C318,T318-C318))</f>
        <v/>
      </c>
      <c r="V318" s="5" t="n"/>
      <c r="W318" s="6" t="n"/>
      <c r="X318" s="3">
        <f>IF(P318="","",IFERROR(VLOOKUP(P318,Parâmetros!$J$2:$K$5,2,FALSE),""))</f>
        <v/>
      </c>
      <c r="Y318" s="4">
        <f>IF(OR(C318="",X318=""),"",C318+X318)</f>
        <v/>
      </c>
      <c r="Z318" s="5">
        <f>IF(C318="","",IF(Q318="Concluído","Concluído",IF(Y318&lt;TODAY(),"Vencido",IF(Y318-TODAY()&lt;=2,"A vencer","No prazo"))))</f>
        <v/>
      </c>
      <c r="AA318" s="3">
        <f>IF(OR(Y318="",Q318="Concluído"),"",Y318-TODAY())</f>
        <v/>
      </c>
      <c r="AB318" s="5" t="n"/>
      <c r="AC318" s="5" t="n"/>
      <c r="AD318" s="4" t="n"/>
    </row>
    <row r="319">
      <c r="A319" s="3">
        <f>IF(C319="","",ROW()-1)</f>
        <v/>
      </c>
      <c r="B319" s="4" t="n"/>
      <c r="C319" s="4" t="n"/>
      <c r="D319" s="5" t="n"/>
      <c r="E319" s="5" t="n"/>
      <c r="F319" s="5" t="n"/>
      <c r="G319" s="5" t="n"/>
      <c r="H319" s="5" t="n"/>
      <c r="I319" s="5" t="n"/>
      <c r="J319" s="5" t="n"/>
      <c r="K319" s="6" t="n"/>
      <c r="L319" s="6" t="n"/>
      <c r="M319" s="6" t="n"/>
      <c r="N319" s="5" t="n"/>
      <c r="O319" s="21" t="n"/>
      <c r="P319" s="5" t="n"/>
      <c r="Q319" s="5" t="n"/>
      <c r="R319" s="6" t="n"/>
      <c r="S319" s="4" t="n"/>
      <c r="T319" s="4" t="n"/>
      <c r="U319" s="3">
        <f>IF(C319="","",IF(T319="",TODAY()-C319,T319-C319))</f>
        <v/>
      </c>
      <c r="V319" s="5" t="n"/>
      <c r="W319" s="6" t="n"/>
      <c r="X319" s="3">
        <f>IF(P319="","",IFERROR(VLOOKUP(P319,Parâmetros!$J$2:$K$5,2,FALSE),""))</f>
        <v/>
      </c>
      <c r="Y319" s="4">
        <f>IF(OR(C319="",X319=""),"",C319+X319)</f>
        <v/>
      </c>
      <c r="Z319" s="5">
        <f>IF(C319="","",IF(Q319="Concluído","Concluído",IF(Y319&lt;TODAY(),"Vencido",IF(Y319-TODAY()&lt;=2,"A vencer","No prazo"))))</f>
        <v/>
      </c>
      <c r="AA319" s="3">
        <f>IF(OR(Y319="",Q319="Concluído"),"",Y319-TODAY())</f>
        <v/>
      </c>
      <c r="AB319" s="5" t="n"/>
      <c r="AC319" s="5" t="n"/>
      <c r="AD319" s="4" t="n"/>
    </row>
    <row r="320">
      <c r="A320" s="3">
        <f>IF(C320="","",ROW()-1)</f>
        <v/>
      </c>
      <c r="B320" s="4" t="n"/>
      <c r="C320" s="4" t="n"/>
      <c r="D320" s="5" t="n"/>
      <c r="E320" s="5" t="n"/>
      <c r="F320" s="5" t="n"/>
      <c r="G320" s="5" t="n"/>
      <c r="H320" s="5" t="n"/>
      <c r="I320" s="5" t="n"/>
      <c r="J320" s="5" t="n"/>
      <c r="K320" s="6" t="n"/>
      <c r="L320" s="6" t="n"/>
      <c r="M320" s="6" t="n"/>
      <c r="N320" s="5" t="n"/>
      <c r="O320" s="21" t="n"/>
      <c r="P320" s="5" t="n"/>
      <c r="Q320" s="5" t="n"/>
      <c r="R320" s="6" t="n"/>
      <c r="S320" s="4" t="n"/>
      <c r="T320" s="4" t="n"/>
      <c r="U320" s="3">
        <f>IF(C320="","",IF(T320="",TODAY()-C320,T320-C320))</f>
        <v/>
      </c>
      <c r="V320" s="5" t="n"/>
      <c r="W320" s="6" t="n"/>
      <c r="X320" s="3">
        <f>IF(P320="","",IFERROR(VLOOKUP(P320,Parâmetros!$J$2:$K$5,2,FALSE),""))</f>
        <v/>
      </c>
      <c r="Y320" s="4">
        <f>IF(OR(C320="",X320=""),"",C320+X320)</f>
        <v/>
      </c>
      <c r="Z320" s="5">
        <f>IF(C320="","",IF(Q320="Concluído","Concluído",IF(Y320&lt;TODAY(),"Vencido",IF(Y320-TODAY()&lt;=2,"A vencer","No prazo"))))</f>
        <v/>
      </c>
      <c r="AA320" s="3">
        <f>IF(OR(Y320="",Q320="Concluído"),"",Y320-TODAY())</f>
        <v/>
      </c>
      <c r="AB320" s="5" t="n"/>
      <c r="AC320" s="5" t="n"/>
      <c r="AD320" s="4" t="n"/>
    </row>
    <row r="321">
      <c r="A321" s="3">
        <f>IF(C321="","",ROW()-1)</f>
        <v/>
      </c>
      <c r="B321" s="4" t="n"/>
      <c r="C321" s="4" t="n"/>
      <c r="D321" s="5" t="n"/>
      <c r="E321" s="5" t="n"/>
      <c r="F321" s="5" t="n"/>
      <c r="G321" s="5" t="n"/>
      <c r="H321" s="5" t="n"/>
      <c r="I321" s="5" t="n"/>
      <c r="J321" s="5" t="n"/>
      <c r="K321" s="6" t="n"/>
      <c r="L321" s="6" t="n"/>
      <c r="M321" s="6" t="n"/>
      <c r="N321" s="5" t="n"/>
      <c r="O321" s="21" t="n"/>
      <c r="P321" s="5" t="n"/>
      <c r="Q321" s="5" t="n"/>
      <c r="R321" s="6" t="n"/>
      <c r="S321" s="4" t="n"/>
      <c r="T321" s="4" t="n"/>
      <c r="U321" s="3">
        <f>IF(C321="","",IF(T321="",TODAY()-C321,T321-C321))</f>
        <v/>
      </c>
      <c r="V321" s="5" t="n"/>
      <c r="W321" s="6" t="n"/>
      <c r="X321" s="3">
        <f>IF(P321="","",IFERROR(VLOOKUP(P321,Parâmetros!$J$2:$K$5,2,FALSE),""))</f>
        <v/>
      </c>
      <c r="Y321" s="4">
        <f>IF(OR(C321="",X321=""),"",C321+X321)</f>
        <v/>
      </c>
      <c r="Z321" s="5">
        <f>IF(C321="","",IF(Q321="Concluído","Concluído",IF(Y321&lt;TODAY(),"Vencido",IF(Y321-TODAY()&lt;=2,"A vencer","No prazo"))))</f>
        <v/>
      </c>
      <c r="AA321" s="3">
        <f>IF(OR(Y321="",Q321="Concluído"),"",Y321-TODAY())</f>
        <v/>
      </c>
      <c r="AB321" s="5" t="n"/>
      <c r="AC321" s="5" t="n"/>
      <c r="AD321" s="4" t="n"/>
    </row>
    <row r="322">
      <c r="A322" s="3">
        <f>IF(C322="","",ROW()-1)</f>
        <v/>
      </c>
      <c r="B322" s="4" t="n"/>
      <c r="C322" s="4" t="n"/>
      <c r="D322" s="5" t="n"/>
      <c r="E322" s="5" t="n"/>
      <c r="F322" s="5" t="n"/>
      <c r="G322" s="5" t="n"/>
      <c r="H322" s="5" t="n"/>
      <c r="I322" s="5" t="n"/>
      <c r="J322" s="5" t="n"/>
      <c r="K322" s="6" t="n"/>
      <c r="L322" s="6" t="n"/>
      <c r="M322" s="6" t="n"/>
      <c r="N322" s="5" t="n"/>
      <c r="O322" s="21" t="n"/>
      <c r="P322" s="5" t="n"/>
      <c r="Q322" s="5" t="n"/>
      <c r="R322" s="6" t="n"/>
      <c r="S322" s="4" t="n"/>
      <c r="T322" s="4" t="n"/>
      <c r="U322" s="3">
        <f>IF(C322="","",IF(T322="",TODAY()-C322,T322-C322))</f>
        <v/>
      </c>
      <c r="V322" s="5" t="n"/>
      <c r="W322" s="6" t="n"/>
      <c r="X322" s="3">
        <f>IF(P322="","",IFERROR(VLOOKUP(P322,Parâmetros!$J$2:$K$5,2,FALSE),""))</f>
        <v/>
      </c>
      <c r="Y322" s="4">
        <f>IF(OR(C322="",X322=""),"",C322+X322)</f>
        <v/>
      </c>
      <c r="Z322" s="5">
        <f>IF(C322="","",IF(Q322="Concluído","Concluído",IF(Y322&lt;TODAY(),"Vencido",IF(Y322-TODAY()&lt;=2,"A vencer","No prazo"))))</f>
        <v/>
      </c>
      <c r="AA322" s="3">
        <f>IF(OR(Y322="",Q322="Concluído"),"",Y322-TODAY())</f>
        <v/>
      </c>
      <c r="AB322" s="5" t="n"/>
      <c r="AC322" s="5" t="n"/>
      <c r="AD322" s="4" t="n"/>
    </row>
    <row r="323">
      <c r="A323" s="3">
        <f>IF(C323="","",ROW()-1)</f>
        <v/>
      </c>
      <c r="B323" s="4" t="n"/>
      <c r="C323" s="4" t="n"/>
      <c r="D323" s="5" t="n"/>
      <c r="E323" s="5" t="n"/>
      <c r="F323" s="5" t="n"/>
      <c r="G323" s="5" t="n"/>
      <c r="H323" s="5" t="n"/>
      <c r="I323" s="5" t="n"/>
      <c r="J323" s="5" t="n"/>
      <c r="K323" s="6" t="n"/>
      <c r="L323" s="6" t="n"/>
      <c r="M323" s="6" t="n"/>
      <c r="N323" s="5" t="n"/>
      <c r="O323" s="21" t="n"/>
      <c r="P323" s="5" t="n"/>
      <c r="Q323" s="5" t="n"/>
      <c r="R323" s="6" t="n"/>
      <c r="S323" s="4" t="n"/>
      <c r="T323" s="4" t="n"/>
      <c r="U323" s="3">
        <f>IF(C323="","",IF(T323="",TODAY()-C323,T323-C323))</f>
        <v/>
      </c>
      <c r="V323" s="5" t="n"/>
      <c r="W323" s="6" t="n"/>
      <c r="X323" s="3">
        <f>IF(P323="","",IFERROR(VLOOKUP(P323,Parâmetros!$J$2:$K$5,2,FALSE),""))</f>
        <v/>
      </c>
      <c r="Y323" s="4">
        <f>IF(OR(C323="",X323=""),"",C323+X323)</f>
        <v/>
      </c>
      <c r="Z323" s="5">
        <f>IF(C323="","",IF(Q323="Concluído","Concluído",IF(Y323&lt;TODAY(),"Vencido",IF(Y323-TODAY()&lt;=2,"A vencer","No prazo"))))</f>
        <v/>
      </c>
      <c r="AA323" s="3">
        <f>IF(OR(Y323="",Q323="Concluído"),"",Y323-TODAY())</f>
        <v/>
      </c>
      <c r="AB323" s="5" t="n"/>
      <c r="AC323" s="5" t="n"/>
      <c r="AD323" s="4" t="n"/>
    </row>
    <row r="324">
      <c r="A324" s="3">
        <f>IF(C324="","",ROW()-1)</f>
        <v/>
      </c>
      <c r="B324" s="4" t="n"/>
      <c r="C324" s="4" t="n"/>
      <c r="D324" s="5" t="n"/>
      <c r="E324" s="5" t="n"/>
      <c r="F324" s="5" t="n"/>
      <c r="G324" s="5" t="n"/>
      <c r="H324" s="5" t="n"/>
      <c r="I324" s="5" t="n"/>
      <c r="J324" s="5" t="n"/>
      <c r="K324" s="6" t="n"/>
      <c r="L324" s="6" t="n"/>
      <c r="M324" s="6" t="n"/>
      <c r="N324" s="5" t="n"/>
      <c r="O324" s="21" t="n"/>
      <c r="P324" s="5" t="n"/>
      <c r="Q324" s="5" t="n"/>
      <c r="R324" s="6" t="n"/>
      <c r="S324" s="4" t="n"/>
      <c r="T324" s="4" t="n"/>
      <c r="U324" s="3">
        <f>IF(C324="","",IF(T324="",TODAY()-C324,T324-C324))</f>
        <v/>
      </c>
      <c r="V324" s="5" t="n"/>
      <c r="W324" s="6" t="n"/>
      <c r="X324" s="3">
        <f>IF(P324="","",IFERROR(VLOOKUP(P324,Parâmetros!$J$2:$K$5,2,FALSE),""))</f>
        <v/>
      </c>
      <c r="Y324" s="4">
        <f>IF(OR(C324="",X324=""),"",C324+X324)</f>
        <v/>
      </c>
      <c r="Z324" s="5">
        <f>IF(C324="","",IF(Q324="Concluído","Concluído",IF(Y324&lt;TODAY(),"Vencido",IF(Y324-TODAY()&lt;=2,"A vencer","No prazo"))))</f>
        <v/>
      </c>
      <c r="AA324" s="3">
        <f>IF(OR(Y324="",Q324="Concluído"),"",Y324-TODAY())</f>
        <v/>
      </c>
      <c r="AB324" s="5" t="n"/>
      <c r="AC324" s="5" t="n"/>
      <c r="AD324" s="4" t="n"/>
    </row>
    <row r="325">
      <c r="A325" s="3">
        <f>IF(C325="","",ROW()-1)</f>
        <v/>
      </c>
      <c r="B325" s="4" t="n"/>
      <c r="C325" s="4" t="n"/>
      <c r="D325" s="5" t="n"/>
      <c r="E325" s="5" t="n"/>
      <c r="F325" s="5" t="n"/>
      <c r="G325" s="5" t="n"/>
      <c r="H325" s="5" t="n"/>
      <c r="I325" s="5" t="n"/>
      <c r="J325" s="5" t="n"/>
      <c r="K325" s="6" t="n"/>
      <c r="L325" s="6" t="n"/>
      <c r="M325" s="6" t="n"/>
      <c r="N325" s="5" t="n"/>
      <c r="O325" s="21" t="n"/>
      <c r="P325" s="5" t="n"/>
      <c r="Q325" s="5" t="n"/>
      <c r="R325" s="6" t="n"/>
      <c r="S325" s="4" t="n"/>
      <c r="T325" s="4" t="n"/>
      <c r="U325" s="3">
        <f>IF(C325="","",IF(T325="",TODAY()-C325,T325-C325))</f>
        <v/>
      </c>
      <c r="V325" s="5" t="n"/>
      <c r="W325" s="6" t="n"/>
      <c r="X325" s="3">
        <f>IF(P325="","",IFERROR(VLOOKUP(P325,Parâmetros!$J$2:$K$5,2,FALSE),""))</f>
        <v/>
      </c>
      <c r="Y325" s="4">
        <f>IF(OR(C325="",X325=""),"",C325+X325)</f>
        <v/>
      </c>
      <c r="Z325" s="5">
        <f>IF(C325="","",IF(Q325="Concluído","Concluído",IF(Y325&lt;TODAY(),"Vencido",IF(Y325-TODAY()&lt;=2,"A vencer","No prazo"))))</f>
        <v/>
      </c>
      <c r="AA325" s="3">
        <f>IF(OR(Y325="",Q325="Concluído"),"",Y325-TODAY())</f>
        <v/>
      </c>
      <c r="AB325" s="5" t="n"/>
      <c r="AC325" s="5" t="n"/>
      <c r="AD325" s="4" t="n"/>
    </row>
    <row r="326">
      <c r="A326" s="3">
        <f>IF(C326="","",ROW()-1)</f>
        <v/>
      </c>
      <c r="B326" s="4" t="n"/>
      <c r="C326" s="4" t="n"/>
      <c r="D326" s="5" t="n"/>
      <c r="E326" s="5" t="n"/>
      <c r="F326" s="5" t="n"/>
      <c r="G326" s="5" t="n"/>
      <c r="H326" s="5" t="n"/>
      <c r="I326" s="5" t="n"/>
      <c r="J326" s="5" t="n"/>
      <c r="K326" s="6" t="n"/>
      <c r="L326" s="6" t="n"/>
      <c r="M326" s="6" t="n"/>
      <c r="N326" s="5" t="n"/>
      <c r="O326" s="21" t="n"/>
      <c r="P326" s="5" t="n"/>
      <c r="Q326" s="5" t="n"/>
      <c r="R326" s="6" t="n"/>
      <c r="S326" s="4" t="n"/>
      <c r="T326" s="4" t="n"/>
      <c r="U326" s="3">
        <f>IF(C326="","",IF(T326="",TODAY()-C326,T326-C326))</f>
        <v/>
      </c>
      <c r="V326" s="5" t="n"/>
      <c r="W326" s="6" t="n"/>
      <c r="X326" s="3">
        <f>IF(P326="","",IFERROR(VLOOKUP(P326,Parâmetros!$J$2:$K$5,2,FALSE),""))</f>
        <v/>
      </c>
      <c r="Y326" s="4">
        <f>IF(OR(C326="",X326=""),"",C326+X326)</f>
        <v/>
      </c>
      <c r="Z326" s="5">
        <f>IF(C326="","",IF(Q326="Concluído","Concluído",IF(Y326&lt;TODAY(),"Vencido",IF(Y326-TODAY()&lt;=2,"A vencer","No prazo"))))</f>
        <v/>
      </c>
      <c r="AA326" s="3">
        <f>IF(OR(Y326="",Q326="Concluído"),"",Y326-TODAY())</f>
        <v/>
      </c>
      <c r="AB326" s="5" t="n"/>
      <c r="AC326" s="5" t="n"/>
      <c r="AD326" s="4" t="n"/>
    </row>
    <row r="327">
      <c r="A327" s="3">
        <f>IF(C327="","",ROW()-1)</f>
        <v/>
      </c>
      <c r="B327" s="4" t="n"/>
      <c r="C327" s="4" t="n"/>
      <c r="D327" s="5" t="n"/>
      <c r="E327" s="5" t="n"/>
      <c r="F327" s="5" t="n"/>
      <c r="G327" s="5" t="n"/>
      <c r="H327" s="5" t="n"/>
      <c r="I327" s="5" t="n"/>
      <c r="J327" s="5" t="n"/>
      <c r="K327" s="6" t="n"/>
      <c r="L327" s="6" t="n"/>
      <c r="M327" s="6" t="n"/>
      <c r="N327" s="5" t="n"/>
      <c r="O327" s="21" t="n"/>
      <c r="P327" s="5" t="n"/>
      <c r="Q327" s="5" t="n"/>
      <c r="R327" s="6" t="n"/>
      <c r="S327" s="4" t="n"/>
      <c r="T327" s="4" t="n"/>
      <c r="U327" s="3">
        <f>IF(C327="","",IF(T327="",TODAY()-C327,T327-C327))</f>
        <v/>
      </c>
      <c r="V327" s="5" t="n"/>
      <c r="W327" s="6" t="n"/>
      <c r="X327" s="3">
        <f>IF(P327="","",IFERROR(VLOOKUP(P327,Parâmetros!$J$2:$K$5,2,FALSE),""))</f>
        <v/>
      </c>
      <c r="Y327" s="4">
        <f>IF(OR(C327="",X327=""),"",C327+X327)</f>
        <v/>
      </c>
      <c r="Z327" s="5">
        <f>IF(C327="","",IF(Q327="Concluído","Concluído",IF(Y327&lt;TODAY(),"Vencido",IF(Y327-TODAY()&lt;=2,"A vencer","No prazo"))))</f>
        <v/>
      </c>
      <c r="AA327" s="3">
        <f>IF(OR(Y327="",Q327="Concluído"),"",Y327-TODAY())</f>
        <v/>
      </c>
      <c r="AB327" s="5" t="n"/>
      <c r="AC327" s="5" t="n"/>
      <c r="AD327" s="4" t="n"/>
    </row>
    <row r="328">
      <c r="A328" s="3">
        <f>IF(C328="","",ROW()-1)</f>
        <v/>
      </c>
      <c r="B328" s="4" t="n"/>
      <c r="C328" s="4" t="n"/>
      <c r="D328" s="5" t="n"/>
      <c r="E328" s="5" t="n"/>
      <c r="F328" s="5" t="n"/>
      <c r="G328" s="5" t="n"/>
      <c r="H328" s="5" t="n"/>
      <c r="I328" s="5" t="n"/>
      <c r="J328" s="5" t="n"/>
      <c r="K328" s="6" t="n"/>
      <c r="L328" s="6" t="n"/>
      <c r="M328" s="6" t="n"/>
      <c r="N328" s="5" t="n"/>
      <c r="O328" s="21" t="n"/>
      <c r="P328" s="5" t="n"/>
      <c r="Q328" s="5" t="n"/>
      <c r="R328" s="6" t="n"/>
      <c r="S328" s="4" t="n"/>
      <c r="T328" s="4" t="n"/>
      <c r="U328" s="3">
        <f>IF(C328="","",IF(T328="",TODAY()-C328,T328-C328))</f>
        <v/>
      </c>
      <c r="V328" s="5" t="n"/>
      <c r="W328" s="6" t="n"/>
      <c r="X328" s="3">
        <f>IF(P328="","",IFERROR(VLOOKUP(P328,Parâmetros!$J$2:$K$5,2,FALSE),""))</f>
        <v/>
      </c>
      <c r="Y328" s="4">
        <f>IF(OR(C328="",X328=""),"",C328+X328)</f>
        <v/>
      </c>
      <c r="Z328" s="5">
        <f>IF(C328="","",IF(Q328="Concluído","Concluído",IF(Y328&lt;TODAY(),"Vencido",IF(Y328-TODAY()&lt;=2,"A vencer","No prazo"))))</f>
        <v/>
      </c>
      <c r="AA328" s="3">
        <f>IF(OR(Y328="",Q328="Concluído"),"",Y328-TODAY())</f>
        <v/>
      </c>
      <c r="AB328" s="5" t="n"/>
      <c r="AC328" s="5" t="n"/>
      <c r="AD328" s="4" t="n"/>
    </row>
    <row r="329">
      <c r="A329" s="3">
        <f>IF(C329="","",ROW()-1)</f>
        <v/>
      </c>
      <c r="B329" s="4" t="n"/>
      <c r="C329" s="4" t="n"/>
      <c r="D329" s="5" t="n"/>
      <c r="E329" s="5" t="n"/>
      <c r="F329" s="5" t="n"/>
      <c r="G329" s="5" t="n"/>
      <c r="H329" s="5" t="n"/>
      <c r="I329" s="5" t="n"/>
      <c r="J329" s="5" t="n"/>
      <c r="K329" s="6" t="n"/>
      <c r="L329" s="6" t="n"/>
      <c r="M329" s="6" t="n"/>
      <c r="N329" s="5" t="n"/>
      <c r="O329" s="21" t="n"/>
      <c r="P329" s="5" t="n"/>
      <c r="Q329" s="5" t="n"/>
      <c r="R329" s="6" t="n"/>
      <c r="S329" s="4" t="n"/>
      <c r="T329" s="4" t="n"/>
      <c r="U329" s="3">
        <f>IF(C329="","",IF(T329="",TODAY()-C329,T329-C329))</f>
        <v/>
      </c>
      <c r="V329" s="5" t="n"/>
      <c r="W329" s="6" t="n"/>
      <c r="X329" s="3">
        <f>IF(P329="","",IFERROR(VLOOKUP(P329,Parâmetros!$J$2:$K$5,2,FALSE),""))</f>
        <v/>
      </c>
      <c r="Y329" s="4">
        <f>IF(OR(C329="",X329=""),"",C329+X329)</f>
        <v/>
      </c>
      <c r="Z329" s="5">
        <f>IF(C329="","",IF(Q329="Concluído","Concluído",IF(Y329&lt;TODAY(),"Vencido",IF(Y329-TODAY()&lt;=2,"A vencer","No prazo"))))</f>
        <v/>
      </c>
      <c r="AA329" s="3">
        <f>IF(OR(Y329="",Q329="Concluído"),"",Y329-TODAY())</f>
        <v/>
      </c>
      <c r="AB329" s="5" t="n"/>
      <c r="AC329" s="5" t="n"/>
      <c r="AD329" s="4" t="n"/>
    </row>
    <row r="330">
      <c r="A330" s="3">
        <f>IF(C330="","",ROW()-1)</f>
        <v/>
      </c>
      <c r="B330" s="4" t="n"/>
      <c r="C330" s="4" t="n"/>
      <c r="D330" s="5" t="n"/>
      <c r="E330" s="5" t="n"/>
      <c r="F330" s="5" t="n"/>
      <c r="G330" s="5" t="n"/>
      <c r="H330" s="5" t="n"/>
      <c r="I330" s="5" t="n"/>
      <c r="J330" s="5" t="n"/>
      <c r="K330" s="6" t="n"/>
      <c r="L330" s="6" t="n"/>
      <c r="M330" s="6" t="n"/>
      <c r="N330" s="5" t="n"/>
      <c r="O330" s="21" t="n"/>
      <c r="P330" s="5" t="n"/>
      <c r="Q330" s="5" t="n"/>
      <c r="R330" s="6" t="n"/>
      <c r="S330" s="4" t="n"/>
      <c r="T330" s="4" t="n"/>
      <c r="U330" s="3">
        <f>IF(C330="","",IF(T330="",TODAY()-C330,T330-C330))</f>
        <v/>
      </c>
      <c r="V330" s="5" t="n"/>
      <c r="W330" s="6" t="n"/>
      <c r="X330" s="3">
        <f>IF(P330="","",IFERROR(VLOOKUP(P330,Parâmetros!$J$2:$K$5,2,FALSE),""))</f>
        <v/>
      </c>
      <c r="Y330" s="4">
        <f>IF(OR(C330="",X330=""),"",C330+X330)</f>
        <v/>
      </c>
      <c r="Z330" s="5">
        <f>IF(C330="","",IF(Q330="Concluído","Concluído",IF(Y330&lt;TODAY(),"Vencido",IF(Y330-TODAY()&lt;=2,"A vencer","No prazo"))))</f>
        <v/>
      </c>
      <c r="AA330" s="3">
        <f>IF(OR(Y330="",Q330="Concluído"),"",Y330-TODAY())</f>
        <v/>
      </c>
      <c r="AB330" s="5" t="n"/>
      <c r="AC330" s="5" t="n"/>
      <c r="AD330" s="4" t="n"/>
    </row>
    <row r="331">
      <c r="A331" s="3">
        <f>IF(C331="","",ROW()-1)</f>
        <v/>
      </c>
      <c r="B331" s="4" t="n"/>
      <c r="C331" s="4" t="n"/>
      <c r="D331" s="5" t="n"/>
      <c r="E331" s="5" t="n"/>
      <c r="F331" s="5" t="n"/>
      <c r="G331" s="5" t="n"/>
      <c r="H331" s="5" t="n"/>
      <c r="I331" s="5" t="n"/>
      <c r="J331" s="5" t="n"/>
      <c r="K331" s="6" t="n"/>
      <c r="L331" s="6" t="n"/>
      <c r="M331" s="6" t="n"/>
      <c r="N331" s="5" t="n"/>
      <c r="O331" s="21" t="n"/>
      <c r="P331" s="5" t="n"/>
      <c r="Q331" s="5" t="n"/>
      <c r="R331" s="6" t="n"/>
      <c r="S331" s="4" t="n"/>
      <c r="T331" s="4" t="n"/>
      <c r="U331" s="3">
        <f>IF(C331="","",IF(T331="",TODAY()-C331,T331-C331))</f>
        <v/>
      </c>
      <c r="V331" s="5" t="n"/>
      <c r="W331" s="6" t="n"/>
      <c r="X331" s="3">
        <f>IF(P331="","",IFERROR(VLOOKUP(P331,Parâmetros!$J$2:$K$5,2,FALSE),""))</f>
        <v/>
      </c>
      <c r="Y331" s="4">
        <f>IF(OR(C331="",X331=""),"",C331+X331)</f>
        <v/>
      </c>
      <c r="Z331" s="5">
        <f>IF(C331="","",IF(Q331="Concluído","Concluído",IF(Y331&lt;TODAY(),"Vencido",IF(Y331-TODAY()&lt;=2,"A vencer","No prazo"))))</f>
        <v/>
      </c>
      <c r="AA331" s="3">
        <f>IF(OR(Y331="",Q331="Concluído"),"",Y331-TODAY())</f>
        <v/>
      </c>
      <c r="AB331" s="5" t="n"/>
      <c r="AC331" s="5" t="n"/>
      <c r="AD331" s="4" t="n"/>
    </row>
    <row r="332">
      <c r="A332" s="3">
        <f>IF(C332="","",ROW()-1)</f>
        <v/>
      </c>
      <c r="B332" s="4" t="n"/>
      <c r="C332" s="4" t="n"/>
      <c r="D332" s="5" t="n"/>
      <c r="E332" s="5" t="n"/>
      <c r="F332" s="5" t="n"/>
      <c r="G332" s="5" t="n"/>
      <c r="H332" s="5" t="n"/>
      <c r="I332" s="5" t="n"/>
      <c r="J332" s="5" t="n"/>
      <c r="K332" s="6" t="n"/>
      <c r="L332" s="6" t="n"/>
      <c r="M332" s="6" t="n"/>
      <c r="N332" s="5" t="n"/>
      <c r="O332" s="21" t="n"/>
      <c r="P332" s="5" t="n"/>
      <c r="Q332" s="5" t="n"/>
      <c r="R332" s="6" t="n"/>
      <c r="S332" s="4" t="n"/>
      <c r="T332" s="4" t="n"/>
      <c r="U332" s="3">
        <f>IF(C332="","",IF(T332="",TODAY()-C332,T332-C332))</f>
        <v/>
      </c>
      <c r="V332" s="5" t="n"/>
      <c r="W332" s="6" t="n"/>
      <c r="X332" s="3">
        <f>IF(P332="","",IFERROR(VLOOKUP(P332,Parâmetros!$J$2:$K$5,2,FALSE),""))</f>
        <v/>
      </c>
      <c r="Y332" s="4">
        <f>IF(OR(C332="",X332=""),"",C332+X332)</f>
        <v/>
      </c>
      <c r="Z332" s="5">
        <f>IF(C332="","",IF(Q332="Concluído","Concluído",IF(Y332&lt;TODAY(),"Vencido",IF(Y332-TODAY()&lt;=2,"A vencer","No prazo"))))</f>
        <v/>
      </c>
      <c r="AA332" s="3">
        <f>IF(OR(Y332="",Q332="Concluído"),"",Y332-TODAY())</f>
        <v/>
      </c>
      <c r="AB332" s="5" t="n"/>
      <c r="AC332" s="5" t="n"/>
      <c r="AD332" s="4" t="n"/>
    </row>
    <row r="333">
      <c r="A333" s="3">
        <f>IF(C333="","",ROW()-1)</f>
        <v/>
      </c>
      <c r="B333" s="4" t="n"/>
      <c r="C333" s="4" t="n"/>
      <c r="D333" s="5" t="n"/>
      <c r="E333" s="5" t="n"/>
      <c r="F333" s="5" t="n"/>
      <c r="G333" s="5" t="n"/>
      <c r="H333" s="5" t="n"/>
      <c r="I333" s="5" t="n"/>
      <c r="J333" s="5" t="n"/>
      <c r="K333" s="6" t="n"/>
      <c r="L333" s="6" t="n"/>
      <c r="M333" s="6" t="n"/>
      <c r="N333" s="5" t="n"/>
      <c r="O333" s="21" t="n"/>
      <c r="P333" s="5" t="n"/>
      <c r="Q333" s="5" t="n"/>
      <c r="R333" s="6" t="n"/>
      <c r="S333" s="4" t="n"/>
      <c r="T333" s="4" t="n"/>
      <c r="U333" s="3">
        <f>IF(C333="","",IF(T333="",TODAY()-C333,T333-C333))</f>
        <v/>
      </c>
      <c r="V333" s="5" t="n"/>
      <c r="W333" s="6" t="n"/>
      <c r="X333" s="3">
        <f>IF(P333="","",IFERROR(VLOOKUP(P333,Parâmetros!$J$2:$K$5,2,FALSE),""))</f>
        <v/>
      </c>
      <c r="Y333" s="4">
        <f>IF(OR(C333="",X333=""),"",C333+X333)</f>
        <v/>
      </c>
      <c r="Z333" s="5">
        <f>IF(C333="","",IF(Q333="Concluído","Concluído",IF(Y333&lt;TODAY(),"Vencido",IF(Y333-TODAY()&lt;=2,"A vencer","No prazo"))))</f>
        <v/>
      </c>
      <c r="AA333" s="3">
        <f>IF(OR(Y333="",Q333="Concluído"),"",Y333-TODAY())</f>
        <v/>
      </c>
      <c r="AB333" s="5" t="n"/>
      <c r="AC333" s="5" t="n"/>
      <c r="AD333" s="4" t="n"/>
    </row>
    <row r="334">
      <c r="A334" s="3">
        <f>IF(C334="","",ROW()-1)</f>
        <v/>
      </c>
      <c r="B334" s="4" t="n"/>
      <c r="C334" s="4" t="n"/>
      <c r="D334" s="5" t="n"/>
      <c r="E334" s="5" t="n"/>
      <c r="F334" s="5" t="n"/>
      <c r="G334" s="5" t="n"/>
      <c r="H334" s="5" t="n"/>
      <c r="I334" s="5" t="n"/>
      <c r="J334" s="5" t="n"/>
      <c r="K334" s="6" t="n"/>
      <c r="L334" s="6" t="n"/>
      <c r="M334" s="6" t="n"/>
      <c r="N334" s="5" t="n"/>
      <c r="O334" s="21" t="n"/>
      <c r="P334" s="5" t="n"/>
      <c r="Q334" s="5" t="n"/>
      <c r="R334" s="6" t="n"/>
      <c r="S334" s="4" t="n"/>
      <c r="T334" s="4" t="n"/>
      <c r="U334" s="3">
        <f>IF(C334="","",IF(T334="",TODAY()-C334,T334-C334))</f>
        <v/>
      </c>
      <c r="V334" s="5" t="n"/>
      <c r="W334" s="6" t="n"/>
      <c r="X334" s="3">
        <f>IF(P334="","",IFERROR(VLOOKUP(P334,Parâmetros!$J$2:$K$5,2,FALSE),""))</f>
        <v/>
      </c>
      <c r="Y334" s="4">
        <f>IF(OR(C334="",X334=""),"",C334+X334)</f>
        <v/>
      </c>
      <c r="Z334" s="5">
        <f>IF(C334="","",IF(Q334="Concluído","Concluído",IF(Y334&lt;TODAY(),"Vencido",IF(Y334-TODAY()&lt;=2,"A vencer","No prazo"))))</f>
        <v/>
      </c>
      <c r="AA334" s="3">
        <f>IF(OR(Y334="",Q334="Concluído"),"",Y334-TODAY())</f>
        <v/>
      </c>
      <c r="AB334" s="5" t="n"/>
      <c r="AC334" s="5" t="n"/>
      <c r="AD334" s="4" t="n"/>
    </row>
    <row r="335">
      <c r="A335" s="3">
        <f>IF(C335="","",ROW()-1)</f>
        <v/>
      </c>
      <c r="B335" s="4" t="n"/>
      <c r="C335" s="4" t="n"/>
      <c r="D335" s="5" t="n"/>
      <c r="E335" s="5" t="n"/>
      <c r="F335" s="5" t="n"/>
      <c r="G335" s="5" t="n"/>
      <c r="H335" s="5" t="n"/>
      <c r="I335" s="5" t="n"/>
      <c r="J335" s="5" t="n"/>
      <c r="K335" s="6" t="n"/>
      <c r="L335" s="6" t="n"/>
      <c r="M335" s="6" t="n"/>
      <c r="N335" s="5" t="n"/>
      <c r="O335" s="21" t="n"/>
      <c r="P335" s="5" t="n"/>
      <c r="Q335" s="5" t="n"/>
      <c r="R335" s="6" t="n"/>
      <c r="S335" s="4" t="n"/>
      <c r="T335" s="4" t="n"/>
      <c r="U335" s="3">
        <f>IF(C335="","",IF(T335="",TODAY()-C335,T335-C335))</f>
        <v/>
      </c>
      <c r="V335" s="5" t="n"/>
      <c r="W335" s="6" t="n"/>
      <c r="X335" s="3">
        <f>IF(P335="","",IFERROR(VLOOKUP(P335,Parâmetros!$J$2:$K$5,2,FALSE),""))</f>
        <v/>
      </c>
      <c r="Y335" s="4">
        <f>IF(OR(C335="",X335=""),"",C335+X335)</f>
        <v/>
      </c>
      <c r="Z335" s="5">
        <f>IF(C335="","",IF(Q335="Concluído","Concluído",IF(Y335&lt;TODAY(),"Vencido",IF(Y335-TODAY()&lt;=2,"A vencer","No prazo"))))</f>
        <v/>
      </c>
      <c r="AA335" s="3">
        <f>IF(OR(Y335="",Q335="Concluído"),"",Y335-TODAY())</f>
        <v/>
      </c>
      <c r="AB335" s="5" t="n"/>
      <c r="AC335" s="5" t="n"/>
      <c r="AD335" s="4" t="n"/>
    </row>
    <row r="336">
      <c r="A336" s="3">
        <f>IF(C336="","",ROW()-1)</f>
        <v/>
      </c>
      <c r="B336" s="4" t="n"/>
      <c r="C336" s="4" t="n"/>
      <c r="D336" s="5" t="n"/>
      <c r="E336" s="5" t="n"/>
      <c r="F336" s="5" t="n"/>
      <c r="G336" s="5" t="n"/>
      <c r="H336" s="5" t="n"/>
      <c r="I336" s="5" t="n"/>
      <c r="J336" s="5" t="n"/>
      <c r="K336" s="6" t="n"/>
      <c r="L336" s="6" t="n"/>
      <c r="M336" s="6" t="n"/>
      <c r="N336" s="5" t="n"/>
      <c r="O336" s="21" t="n"/>
      <c r="P336" s="5" t="n"/>
      <c r="Q336" s="5" t="n"/>
      <c r="R336" s="6" t="n"/>
      <c r="S336" s="4" t="n"/>
      <c r="T336" s="4" t="n"/>
      <c r="U336" s="3">
        <f>IF(C336="","",IF(T336="",TODAY()-C336,T336-C336))</f>
        <v/>
      </c>
      <c r="V336" s="5" t="n"/>
      <c r="W336" s="6" t="n"/>
      <c r="X336" s="3">
        <f>IF(P336="","",IFERROR(VLOOKUP(P336,Parâmetros!$J$2:$K$5,2,FALSE),""))</f>
        <v/>
      </c>
      <c r="Y336" s="4">
        <f>IF(OR(C336="",X336=""),"",C336+X336)</f>
        <v/>
      </c>
      <c r="Z336" s="5">
        <f>IF(C336="","",IF(Q336="Concluído","Concluído",IF(Y336&lt;TODAY(),"Vencido",IF(Y336-TODAY()&lt;=2,"A vencer","No prazo"))))</f>
        <v/>
      </c>
      <c r="AA336" s="3">
        <f>IF(OR(Y336="",Q336="Concluído"),"",Y336-TODAY())</f>
        <v/>
      </c>
      <c r="AB336" s="5" t="n"/>
      <c r="AC336" s="5" t="n"/>
      <c r="AD336" s="4" t="n"/>
    </row>
    <row r="337">
      <c r="A337" s="3">
        <f>IF(C337="","",ROW()-1)</f>
        <v/>
      </c>
      <c r="B337" s="4" t="n"/>
      <c r="C337" s="4" t="n"/>
      <c r="D337" s="5" t="n"/>
      <c r="E337" s="5" t="n"/>
      <c r="F337" s="5" t="n"/>
      <c r="G337" s="5" t="n"/>
      <c r="H337" s="5" t="n"/>
      <c r="I337" s="5" t="n"/>
      <c r="J337" s="5" t="n"/>
      <c r="K337" s="6" t="n"/>
      <c r="L337" s="6" t="n"/>
      <c r="M337" s="6" t="n"/>
      <c r="N337" s="5" t="n"/>
      <c r="O337" s="21" t="n"/>
      <c r="P337" s="5" t="n"/>
      <c r="Q337" s="5" t="n"/>
      <c r="R337" s="6" t="n"/>
      <c r="S337" s="4" t="n"/>
      <c r="T337" s="4" t="n"/>
      <c r="U337" s="3">
        <f>IF(C337="","",IF(T337="",TODAY()-C337,T337-C337))</f>
        <v/>
      </c>
      <c r="V337" s="5" t="n"/>
      <c r="W337" s="6" t="n"/>
      <c r="X337" s="3">
        <f>IF(P337="","",IFERROR(VLOOKUP(P337,Parâmetros!$J$2:$K$5,2,FALSE),""))</f>
        <v/>
      </c>
      <c r="Y337" s="4">
        <f>IF(OR(C337="",X337=""),"",C337+X337)</f>
        <v/>
      </c>
      <c r="Z337" s="5">
        <f>IF(C337="","",IF(Q337="Concluído","Concluído",IF(Y337&lt;TODAY(),"Vencido",IF(Y337-TODAY()&lt;=2,"A vencer","No prazo"))))</f>
        <v/>
      </c>
      <c r="AA337" s="3">
        <f>IF(OR(Y337="",Q337="Concluído"),"",Y337-TODAY())</f>
        <v/>
      </c>
      <c r="AB337" s="5" t="n"/>
      <c r="AC337" s="5" t="n"/>
      <c r="AD337" s="4" t="n"/>
    </row>
    <row r="338">
      <c r="A338" s="3">
        <f>IF(C338="","",ROW()-1)</f>
        <v/>
      </c>
      <c r="B338" s="4" t="n"/>
      <c r="C338" s="4" t="n"/>
      <c r="D338" s="5" t="n"/>
      <c r="E338" s="5" t="n"/>
      <c r="F338" s="5" t="n"/>
      <c r="G338" s="5" t="n"/>
      <c r="H338" s="5" t="n"/>
      <c r="I338" s="5" t="n"/>
      <c r="J338" s="5" t="n"/>
      <c r="K338" s="6" t="n"/>
      <c r="L338" s="6" t="n"/>
      <c r="M338" s="6" t="n"/>
      <c r="N338" s="5" t="n"/>
      <c r="O338" s="21" t="n"/>
      <c r="P338" s="5" t="n"/>
      <c r="Q338" s="5" t="n"/>
      <c r="R338" s="6" t="n"/>
      <c r="S338" s="4" t="n"/>
      <c r="T338" s="4" t="n"/>
      <c r="U338" s="3">
        <f>IF(C338="","",IF(T338="",TODAY()-C338,T338-C338))</f>
        <v/>
      </c>
      <c r="V338" s="5" t="n"/>
      <c r="W338" s="6" t="n"/>
      <c r="X338" s="3">
        <f>IF(P338="","",IFERROR(VLOOKUP(P338,Parâmetros!$J$2:$K$5,2,FALSE),""))</f>
        <v/>
      </c>
      <c r="Y338" s="4">
        <f>IF(OR(C338="",X338=""),"",C338+X338)</f>
        <v/>
      </c>
      <c r="Z338" s="5">
        <f>IF(C338="","",IF(Q338="Concluído","Concluído",IF(Y338&lt;TODAY(),"Vencido",IF(Y338-TODAY()&lt;=2,"A vencer","No prazo"))))</f>
        <v/>
      </c>
      <c r="AA338" s="3">
        <f>IF(OR(Y338="",Q338="Concluído"),"",Y338-TODAY())</f>
        <v/>
      </c>
      <c r="AB338" s="5" t="n"/>
      <c r="AC338" s="5" t="n"/>
      <c r="AD338" s="4" t="n"/>
    </row>
    <row r="339">
      <c r="A339" s="3">
        <f>IF(C339="","",ROW()-1)</f>
        <v/>
      </c>
      <c r="B339" s="4" t="n"/>
      <c r="C339" s="4" t="n"/>
      <c r="D339" s="5" t="n"/>
      <c r="E339" s="5" t="n"/>
      <c r="F339" s="5" t="n"/>
      <c r="G339" s="5" t="n"/>
      <c r="H339" s="5" t="n"/>
      <c r="I339" s="5" t="n"/>
      <c r="J339" s="5" t="n"/>
      <c r="K339" s="6" t="n"/>
      <c r="L339" s="6" t="n"/>
      <c r="M339" s="6" t="n"/>
      <c r="N339" s="5" t="n"/>
      <c r="O339" s="21" t="n"/>
      <c r="P339" s="5" t="n"/>
      <c r="Q339" s="5" t="n"/>
      <c r="R339" s="6" t="n"/>
      <c r="S339" s="4" t="n"/>
      <c r="T339" s="4" t="n"/>
      <c r="U339" s="3">
        <f>IF(C339="","",IF(T339="",TODAY()-C339,T339-C339))</f>
        <v/>
      </c>
      <c r="V339" s="5" t="n"/>
      <c r="W339" s="6" t="n"/>
      <c r="X339" s="3">
        <f>IF(P339="","",IFERROR(VLOOKUP(P339,Parâmetros!$J$2:$K$5,2,FALSE),""))</f>
        <v/>
      </c>
      <c r="Y339" s="4">
        <f>IF(OR(C339="",X339=""),"",C339+X339)</f>
        <v/>
      </c>
      <c r="Z339" s="5">
        <f>IF(C339="","",IF(Q339="Concluído","Concluído",IF(Y339&lt;TODAY(),"Vencido",IF(Y339-TODAY()&lt;=2,"A vencer","No prazo"))))</f>
        <v/>
      </c>
      <c r="AA339" s="3">
        <f>IF(OR(Y339="",Q339="Concluído"),"",Y339-TODAY())</f>
        <v/>
      </c>
      <c r="AB339" s="5" t="n"/>
      <c r="AC339" s="5" t="n"/>
      <c r="AD339" s="4" t="n"/>
    </row>
    <row r="340">
      <c r="A340" s="3">
        <f>IF(C340="","",ROW()-1)</f>
        <v/>
      </c>
      <c r="B340" s="4" t="n"/>
      <c r="C340" s="4" t="n"/>
      <c r="D340" s="5" t="n"/>
      <c r="E340" s="5" t="n"/>
      <c r="F340" s="5" t="n"/>
      <c r="G340" s="5" t="n"/>
      <c r="H340" s="5" t="n"/>
      <c r="I340" s="5" t="n"/>
      <c r="J340" s="5" t="n"/>
      <c r="K340" s="6" t="n"/>
      <c r="L340" s="6" t="n"/>
      <c r="M340" s="6" t="n"/>
      <c r="N340" s="5" t="n"/>
      <c r="O340" s="21" t="n"/>
      <c r="P340" s="5" t="n"/>
      <c r="Q340" s="5" t="n"/>
      <c r="R340" s="6" t="n"/>
      <c r="S340" s="4" t="n"/>
      <c r="T340" s="4" t="n"/>
      <c r="U340" s="3">
        <f>IF(C340="","",IF(T340="",TODAY()-C340,T340-C340))</f>
        <v/>
      </c>
      <c r="V340" s="5" t="n"/>
      <c r="W340" s="6" t="n"/>
      <c r="X340" s="3">
        <f>IF(P340="","",IFERROR(VLOOKUP(P340,Parâmetros!$J$2:$K$5,2,FALSE),""))</f>
        <v/>
      </c>
      <c r="Y340" s="4">
        <f>IF(OR(C340="",X340=""),"",C340+X340)</f>
        <v/>
      </c>
      <c r="Z340" s="5">
        <f>IF(C340="","",IF(Q340="Concluído","Concluído",IF(Y340&lt;TODAY(),"Vencido",IF(Y340-TODAY()&lt;=2,"A vencer","No prazo"))))</f>
        <v/>
      </c>
      <c r="AA340" s="3">
        <f>IF(OR(Y340="",Q340="Concluído"),"",Y340-TODAY())</f>
        <v/>
      </c>
      <c r="AB340" s="5" t="n"/>
      <c r="AC340" s="5" t="n"/>
      <c r="AD340" s="4" t="n"/>
    </row>
    <row r="341">
      <c r="A341" s="3">
        <f>IF(C341="","",ROW()-1)</f>
        <v/>
      </c>
      <c r="B341" s="4" t="n"/>
      <c r="C341" s="4" t="n"/>
      <c r="D341" s="5" t="n"/>
      <c r="E341" s="5" t="n"/>
      <c r="F341" s="5" t="n"/>
      <c r="G341" s="5" t="n"/>
      <c r="H341" s="5" t="n"/>
      <c r="I341" s="5" t="n"/>
      <c r="J341" s="5" t="n"/>
      <c r="K341" s="6" t="n"/>
      <c r="L341" s="6" t="n"/>
      <c r="M341" s="6" t="n"/>
      <c r="N341" s="5" t="n"/>
      <c r="O341" s="21" t="n"/>
      <c r="P341" s="5" t="n"/>
      <c r="Q341" s="5" t="n"/>
      <c r="R341" s="6" t="n"/>
      <c r="S341" s="4" t="n"/>
      <c r="T341" s="4" t="n"/>
      <c r="U341" s="3">
        <f>IF(C341="","",IF(T341="",TODAY()-C341,T341-C341))</f>
        <v/>
      </c>
      <c r="V341" s="5" t="n"/>
      <c r="W341" s="6" t="n"/>
      <c r="X341" s="3">
        <f>IF(P341="","",IFERROR(VLOOKUP(P341,Parâmetros!$J$2:$K$5,2,FALSE),""))</f>
        <v/>
      </c>
      <c r="Y341" s="4">
        <f>IF(OR(C341="",X341=""),"",C341+X341)</f>
        <v/>
      </c>
      <c r="Z341" s="5">
        <f>IF(C341="","",IF(Q341="Concluído","Concluído",IF(Y341&lt;TODAY(),"Vencido",IF(Y341-TODAY()&lt;=2,"A vencer","No prazo"))))</f>
        <v/>
      </c>
      <c r="AA341" s="3">
        <f>IF(OR(Y341="",Q341="Concluído"),"",Y341-TODAY())</f>
        <v/>
      </c>
      <c r="AB341" s="5" t="n"/>
      <c r="AC341" s="5" t="n"/>
      <c r="AD341" s="4" t="n"/>
    </row>
    <row r="342">
      <c r="A342" s="3">
        <f>IF(C342="","",ROW()-1)</f>
        <v/>
      </c>
      <c r="B342" s="4" t="n"/>
      <c r="C342" s="4" t="n"/>
      <c r="D342" s="5" t="n"/>
      <c r="E342" s="5" t="n"/>
      <c r="F342" s="5" t="n"/>
      <c r="G342" s="5" t="n"/>
      <c r="H342" s="5" t="n"/>
      <c r="I342" s="5" t="n"/>
      <c r="J342" s="5" t="n"/>
      <c r="K342" s="6" t="n"/>
      <c r="L342" s="6" t="n"/>
      <c r="M342" s="6" t="n"/>
      <c r="N342" s="5" t="n"/>
      <c r="O342" s="21" t="n"/>
      <c r="P342" s="5" t="n"/>
      <c r="Q342" s="5" t="n"/>
      <c r="R342" s="6" t="n"/>
      <c r="S342" s="4" t="n"/>
      <c r="T342" s="4" t="n"/>
      <c r="U342" s="3">
        <f>IF(C342="","",IF(T342="",TODAY()-C342,T342-C342))</f>
        <v/>
      </c>
      <c r="V342" s="5" t="n"/>
      <c r="W342" s="6" t="n"/>
      <c r="X342" s="3">
        <f>IF(P342="","",IFERROR(VLOOKUP(P342,Parâmetros!$J$2:$K$5,2,FALSE),""))</f>
        <v/>
      </c>
      <c r="Y342" s="4">
        <f>IF(OR(C342="",X342=""),"",C342+X342)</f>
        <v/>
      </c>
      <c r="Z342" s="5">
        <f>IF(C342="","",IF(Q342="Concluído","Concluído",IF(Y342&lt;TODAY(),"Vencido",IF(Y342-TODAY()&lt;=2,"A vencer","No prazo"))))</f>
        <v/>
      </c>
      <c r="AA342" s="3">
        <f>IF(OR(Y342="",Q342="Concluído"),"",Y342-TODAY())</f>
        <v/>
      </c>
      <c r="AB342" s="5" t="n"/>
      <c r="AC342" s="5" t="n"/>
      <c r="AD342" s="4" t="n"/>
    </row>
    <row r="343">
      <c r="A343" s="3">
        <f>IF(C343="","",ROW()-1)</f>
        <v/>
      </c>
      <c r="B343" s="4" t="n"/>
      <c r="C343" s="4" t="n"/>
      <c r="D343" s="5" t="n"/>
      <c r="E343" s="5" t="n"/>
      <c r="F343" s="5" t="n"/>
      <c r="G343" s="5" t="n"/>
      <c r="H343" s="5" t="n"/>
      <c r="I343" s="5" t="n"/>
      <c r="J343" s="5" t="n"/>
      <c r="K343" s="6" t="n"/>
      <c r="L343" s="6" t="n"/>
      <c r="M343" s="6" t="n"/>
      <c r="N343" s="5" t="n"/>
      <c r="O343" s="21" t="n"/>
      <c r="P343" s="5" t="n"/>
      <c r="Q343" s="5" t="n"/>
      <c r="R343" s="6" t="n"/>
      <c r="S343" s="4" t="n"/>
      <c r="T343" s="4" t="n"/>
      <c r="U343" s="3">
        <f>IF(C343="","",IF(T343="",TODAY()-C343,T343-C343))</f>
        <v/>
      </c>
      <c r="V343" s="5" t="n"/>
      <c r="W343" s="6" t="n"/>
      <c r="X343" s="3">
        <f>IF(P343="","",IFERROR(VLOOKUP(P343,Parâmetros!$J$2:$K$5,2,FALSE),""))</f>
        <v/>
      </c>
      <c r="Y343" s="4">
        <f>IF(OR(C343="",X343=""),"",C343+X343)</f>
        <v/>
      </c>
      <c r="Z343" s="5">
        <f>IF(C343="","",IF(Q343="Concluído","Concluído",IF(Y343&lt;TODAY(),"Vencido",IF(Y343-TODAY()&lt;=2,"A vencer","No prazo"))))</f>
        <v/>
      </c>
      <c r="AA343" s="3">
        <f>IF(OR(Y343="",Q343="Concluído"),"",Y343-TODAY())</f>
        <v/>
      </c>
      <c r="AB343" s="5" t="n"/>
      <c r="AC343" s="5" t="n"/>
      <c r="AD343" s="4" t="n"/>
    </row>
    <row r="344">
      <c r="A344" s="3">
        <f>IF(C344="","",ROW()-1)</f>
        <v/>
      </c>
      <c r="B344" s="4" t="n"/>
      <c r="C344" s="4" t="n"/>
      <c r="D344" s="5" t="n"/>
      <c r="E344" s="5" t="n"/>
      <c r="F344" s="5" t="n"/>
      <c r="G344" s="5" t="n"/>
      <c r="H344" s="5" t="n"/>
      <c r="I344" s="5" t="n"/>
      <c r="J344" s="5" t="n"/>
      <c r="K344" s="6" t="n"/>
      <c r="L344" s="6" t="n"/>
      <c r="M344" s="6" t="n"/>
      <c r="N344" s="5" t="n"/>
      <c r="O344" s="21" t="n"/>
      <c r="P344" s="5" t="n"/>
      <c r="Q344" s="5" t="n"/>
      <c r="R344" s="6" t="n"/>
      <c r="S344" s="4" t="n"/>
      <c r="T344" s="4" t="n"/>
      <c r="U344" s="3">
        <f>IF(C344="","",IF(T344="",TODAY()-C344,T344-C344))</f>
        <v/>
      </c>
      <c r="V344" s="5" t="n"/>
      <c r="W344" s="6" t="n"/>
      <c r="X344" s="3">
        <f>IF(P344="","",IFERROR(VLOOKUP(P344,Parâmetros!$J$2:$K$5,2,FALSE),""))</f>
        <v/>
      </c>
      <c r="Y344" s="4">
        <f>IF(OR(C344="",X344=""),"",C344+X344)</f>
        <v/>
      </c>
      <c r="Z344" s="5">
        <f>IF(C344="","",IF(Q344="Concluído","Concluído",IF(Y344&lt;TODAY(),"Vencido",IF(Y344-TODAY()&lt;=2,"A vencer","No prazo"))))</f>
        <v/>
      </c>
      <c r="AA344" s="3">
        <f>IF(OR(Y344="",Q344="Concluído"),"",Y344-TODAY())</f>
        <v/>
      </c>
      <c r="AB344" s="5" t="n"/>
      <c r="AC344" s="5" t="n"/>
      <c r="AD344" s="4" t="n"/>
    </row>
    <row r="345">
      <c r="A345" s="3">
        <f>IF(C345="","",ROW()-1)</f>
        <v/>
      </c>
      <c r="B345" s="4" t="n"/>
      <c r="C345" s="4" t="n"/>
      <c r="D345" s="5" t="n"/>
      <c r="E345" s="5" t="n"/>
      <c r="F345" s="5" t="n"/>
      <c r="G345" s="5" t="n"/>
      <c r="H345" s="5" t="n"/>
      <c r="I345" s="5" t="n"/>
      <c r="J345" s="5" t="n"/>
      <c r="K345" s="6" t="n"/>
      <c r="L345" s="6" t="n"/>
      <c r="M345" s="6" t="n"/>
      <c r="N345" s="5" t="n"/>
      <c r="O345" s="21" t="n"/>
      <c r="P345" s="5" t="n"/>
      <c r="Q345" s="5" t="n"/>
      <c r="R345" s="6" t="n"/>
      <c r="S345" s="4" t="n"/>
      <c r="T345" s="4" t="n"/>
      <c r="U345" s="3">
        <f>IF(C345="","",IF(T345="",TODAY()-C345,T345-C345))</f>
        <v/>
      </c>
      <c r="V345" s="5" t="n"/>
      <c r="W345" s="6" t="n"/>
      <c r="X345" s="3">
        <f>IF(P345="","",IFERROR(VLOOKUP(P345,Parâmetros!$J$2:$K$5,2,FALSE),""))</f>
        <v/>
      </c>
      <c r="Y345" s="4">
        <f>IF(OR(C345="",X345=""),"",C345+X345)</f>
        <v/>
      </c>
      <c r="Z345" s="5">
        <f>IF(C345="","",IF(Q345="Concluído","Concluído",IF(Y345&lt;TODAY(),"Vencido",IF(Y345-TODAY()&lt;=2,"A vencer","No prazo"))))</f>
        <v/>
      </c>
      <c r="AA345" s="3">
        <f>IF(OR(Y345="",Q345="Concluído"),"",Y345-TODAY())</f>
        <v/>
      </c>
      <c r="AB345" s="5" t="n"/>
      <c r="AC345" s="5" t="n"/>
      <c r="AD345" s="4" t="n"/>
    </row>
    <row r="346">
      <c r="A346" s="3">
        <f>IF(C346="","",ROW()-1)</f>
        <v/>
      </c>
      <c r="B346" s="4" t="n"/>
      <c r="C346" s="4" t="n"/>
      <c r="D346" s="5" t="n"/>
      <c r="E346" s="5" t="n"/>
      <c r="F346" s="5" t="n"/>
      <c r="G346" s="5" t="n"/>
      <c r="H346" s="5" t="n"/>
      <c r="I346" s="5" t="n"/>
      <c r="J346" s="5" t="n"/>
      <c r="K346" s="6" t="n"/>
      <c r="L346" s="6" t="n"/>
      <c r="M346" s="6" t="n"/>
      <c r="N346" s="5" t="n"/>
      <c r="O346" s="21" t="n"/>
      <c r="P346" s="5" t="n"/>
      <c r="Q346" s="5" t="n"/>
      <c r="R346" s="6" t="n"/>
      <c r="S346" s="4" t="n"/>
      <c r="T346" s="4" t="n"/>
      <c r="U346" s="3">
        <f>IF(C346="","",IF(T346="",TODAY()-C346,T346-C346))</f>
        <v/>
      </c>
      <c r="V346" s="5" t="n"/>
      <c r="W346" s="6" t="n"/>
      <c r="X346" s="3">
        <f>IF(P346="","",IFERROR(VLOOKUP(P346,Parâmetros!$J$2:$K$5,2,FALSE),""))</f>
        <v/>
      </c>
      <c r="Y346" s="4">
        <f>IF(OR(C346="",X346=""),"",C346+X346)</f>
        <v/>
      </c>
      <c r="Z346" s="5">
        <f>IF(C346="","",IF(Q346="Concluído","Concluído",IF(Y346&lt;TODAY(),"Vencido",IF(Y346-TODAY()&lt;=2,"A vencer","No prazo"))))</f>
        <v/>
      </c>
      <c r="AA346" s="3">
        <f>IF(OR(Y346="",Q346="Concluído"),"",Y346-TODAY())</f>
        <v/>
      </c>
      <c r="AB346" s="5" t="n"/>
      <c r="AC346" s="5" t="n"/>
      <c r="AD346" s="4" t="n"/>
    </row>
    <row r="347">
      <c r="A347" s="3">
        <f>IF(C347="","",ROW()-1)</f>
        <v/>
      </c>
      <c r="B347" s="4" t="n"/>
      <c r="C347" s="4" t="n"/>
      <c r="D347" s="5" t="n"/>
      <c r="E347" s="5" t="n"/>
      <c r="F347" s="5" t="n"/>
      <c r="G347" s="5" t="n"/>
      <c r="H347" s="5" t="n"/>
      <c r="I347" s="5" t="n"/>
      <c r="J347" s="5" t="n"/>
      <c r="K347" s="6" t="n"/>
      <c r="L347" s="6" t="n"/>
      <c r="M347" s="6" t="n"/>
      <c r="N347" s="5" t="n"/>
      <c r="O347" s="21" t="n"/>
      <c r="P347" s="5" t="n"/>
      <c r="Q347" s="5" t="n"/>
      <c r="R347" s="6" t="n"/>
      <c r="S347" s="4" t="n"/>
      <c r="T347" s="4" t="n"/>
      <c r="U347" s="3">
        <f>IF(C347="","",IF(T347="",TODAY()-C347,T347-C347))</f>
        <v/>
      </c>
      <c r="V347" s="5" t="n"/>
      <c r="W347" s="6" t="n"/>
      <c r="X347" s="3">
        <f>IF(P347="","",IFERROR(VLOOKUP(P347,Parâmetros!$J$2:$K$5,2,FALSE),""))</f>
        <v/>
      </c>
      <c r="Y347" s="4">
        <f>IF(OR(C347="",X347=""),"",C347+X347)</f>
        <v/>
      </c>
      <c r="Z347" s="5">
        <f>IF(C347="","",IF(Q347="Concluído","Concluído",IF(Y347&lt;TODAY(),"Vencido",IF(Y347-TODAY()&lt;=2,"A vencer","No prazo"))))</f>
        <v/>
      </c>
      <c r="AA347" s="3">
        <f>IF(OR(Y347="",Q347="Concluído"),"",Y347-TODAY())</f>
        <v/>
      </c>
      <c r="AB347" s="5" t="n"/>
      <c r="AC347" s="5" t="n"/>
      <c r="AD347" s="4" t="n"/>
    </row>
    <row r="348">
      <c r="A348" s="3">
        <f>IF(C348="","",ROW()-1)</f>
        <v/>
      </c>
      <c r="B348" s="4" t="n"/>
      <c r="C348" s="4" t="n"/>
      <c r="D348" s="5" t="n"/>
      <c r="E348" s="5" t="n"/>
      <c r="F348" s="5" t="n"/>
      <c r="G348" s="5" t="n"/>
      <c r="H348" s="5" t="n"/>
      <c r="I348" s="5" t="n"/>
      <c r="J348" s="5" t="n"/>
      <c r="K348" s="6" t="n"/>
      <c r="L348" s="6" t="n"/>
      <c r="M348" s="6" t="n"/>
      <c r="N348" s="5" t="n"/>
      <c r="O348" s="21" t="n"/>
      <c r="P348" s="5" t="n"/>
      <c r="Q348" s="5" t="n"/>
      <c r="R348" s="6" t="n"/>
      <c r="S348" s="4" t="n"/>
      <c r="T348" s="4" t="n"/>
      <c r="U348" s="3">
        <f>IF(C348="","",IF(T348="",TODAY()-C348,T348-C348))</f>
        <v/>
      </c>
      <c r="V348" s="5" t="n"/>
      <c r="W348" s="6" t="n"/>
      <c r="X348" s="3">
        <f>IF(P348="","",IFERROR(VLOOKUP(P348,Parâmetros!$J$2:$K$5,2,FALSE),""))</f>
        <v/>
      </c>
      <c r="Y348" s="4">
        <f>IF(OR(C348="",X348=""),"",C348+X348)</f>
        <v/>
      </c>
      <c r="Z348" s="5">
        <f>IF(C348="","",IF(Q348="Concluído","Concluído",IF(Y348&lt;TODAY(),"Vencido",IF(Y348-TODAY()&lt;=2,"A vencer","No prazo"))))</f>
        <v/>
      </c>
      <c r="AA348" s="3">
        <f>IF(OR(Y348="",Q348="Concluído"),"",Y348-TODAY())</f>
        <v/>
      </c>
      <c r="AB348" s="5" t="n"/>
      <c r="AC348" s="5" t="n"/>
      <c r="AD348" s="4" t="n"/>
    </row>
    <row r="349">
      <c r="A349" s="3">
        <f>IF(C349="","",ROW()-1)</f>
        <v/>
      </c>
      <c r="B349" s="4" t="n"/>
      <c r="C349" s="4" t="n"/>
      <c r="D349" s="5" t="n"/>
      <c r="E349" s="5" t="n"/>
      <c r="F349" s="5" t="n"/>
      <c r="G349" s="5" t="n"/>
      <c r="H349" s="5" t="n"/>
      <c r="I349" s="5" t="n"/>
      <c r="J349" s="5" t="n"/>
      <c r="K349" s="6" t="n"/>
      <c r="L349" s="6" t="n"/>
      <c r="M349" s="6" t="n"/>
      <c r="N349" s="5" t="n"/>
      <c r="O349" s="21" t="n"/>
      <c r="P349" s="5" t="n"/>
      <c r="Q349" s="5" t="n"/>
      <c r="R349" s="6" t="n"/>
      <c r="S349" s="4" t="n"/>
      <c r="T349" s="4" t="n"/>
      <c r="U349" s="3">
        <f>IF(C349="","",IF(T349="",TODAY()-C349,T349-C349))</f>
        <v/>
      </c>
      <c r="V349" s="5" t="n"/>
      <c r="W349" s="6" t="n"/>
      <c r="X349" s="3">
        <f>IF(P349="","",IFERROR(VLOOKUP(P349,Parâmetros!$J$2:$K$5,2,FALSE),""))</f>
        <v/>
      </c>
      <c r="Y349" s="4">
        <f>IF(OR(C349="",X349=""),"",C349+X349)</f>
        <v/>
      </c>
      <c r="Z349" s="5">
        <f>IF(C349="","",IF(Q349="Concluído","Concluído",IF(Y349&lt;TODAY(),"Vencido",IF(Y349-TODAY()&lt;=2,"A vencer","No prazo"))))</f>
        <v/>
      </c>
      <c r="AA349" s="3">
        <f>IF(OR(Y349="",Q349="Concluído"),"",Y349-TODAY())</f>
        <v/>
      </c>
      <c r="AB349" s="5" t="n"/>
      <c r="AC349" s="5" t="n"/>
      <c r="AD349" s="4" t="n"/>
    </row>
    <row r="350">
      <c r="A350" s="3">
        <f>IF(C350="","",ROW()-1)</f>
        <v/>
      </c>
      <c r="B350" s="4" t="n"/>
      <c r="C350" s="4" t="n"/>
      <c r="D350" s="5" t="n"/>
      <c r="E350" s="5" t="n"/>
      <c r="F350" s="5" t="n"/>
      <c r="G350" s="5" t="n"/>
      <c r="H350" s="5" t="n"/>
      <c r="I350" s="5" t="n"/>
      <c r="J350" s="5" t="n"/>
      <c r="K350" s="6" t="n"/>
      <c r="L350" s="6" t="n"/>
      <c r="M350" s="6" t="n"/>
      <c r="N350" s="5" t="n"/>
      <c r="O350" s="21" t="n"/>
      <c r="P350" s="5" t="n"/>
      <c r="Q350" s="5" t="n"/>
      <c r="R350" s="6" t="n"/>
      <c r="S350" s="4" t="n"/>
      <c r="T350" s="4" t="n"/>
      <c r="U350" s="3">
        <f>IF(C350="","",IF(T350="",TODAY()-C350,T350-C350))</f>
        <v/>
      </c>
      <c r="V350" s="5" t="n"/>
      <c r="W350" s="6" t="n"/>
      <c r="X350" s="3">
        <f>IF(P350="","",IFERROR(VLOOKUP(P350,Parâmetros!$J$2:$K$5,2,FALSE),""))</f>
        <v/>
      </c>
      <c r="Y350" s="4">
        <f>IF(OR(C350="",X350=""),"",C350+X350)</f>
        <v/>
      </c>
      <c r="Z350" s="5">
        <f>IF(C350="","",IF(Q350="Concluído","Concluído",IF(Y350&lt;TODAY(),"Vencido",IF(Y350-TODAY()&lt;=2,"A vencer","No prazo"))))</f>
        <v/>
      </c>
      <c r="AA350" s="3">
        <f>IF(OR(Y350="",Q350="Concluído"),"",Y350-TODAY())</f>
        <v/>
      </c>
      <c r="AB350" s="5" t="n"/>
      <c r="AC350" s="5" t="n"/>
      <c r="AD350" s="4" t="n"/>
    </row>
    <row r="351">
      <c r="A351" s="3">
        <f>IF(C351="","",ROW()-1)</f>
        <v/>
      </c>
      <c r="B351" s="4" t="n"/>
      <c r="C351" s="4" t="n"/>
      <c r="D351" s="5" t="n"/>
      <c r="E351" s="5" t="n"/>
      <c r="F351" s="5" t="n"/>
      <c r="G351" s="5" t="n"/>
      <c r="H351" s="5" t="n"/>
      <c r="I351" s="5" t="n"/>
      <c r="J351" s="5" t="n"/>
      <c r="K351" s="6" t="n"/>
      <c r="L351" s="6" t="n"/>
      <c r="M351" s="6" t="n"/>
      <c r="N351" s="5" t="n"/>
      <c r="O351" s="21" t="n"/>
      <c r="P351" s="5" t="n"/>
      <c r="Q351" s="5" t="n"/>
      <c r="R351" s="6" t="n"/>
      <c r="S351" s="4" t="n"/>
      <c r="T351" s="4" t="n"/>
      <c r="U351" s="3">
        <f>IF(C351="","",IF(T351="",TODAY()-C351,T351-C351))</f>
        <v/>
      </c>
      <c r="V351" s="5" t="n"/>
      <c r="W351" s="6" t="n"/>
      <c r="X351" s="3">
        <f>IF(P351="","",IFERROR(VLOOKUP(P351,Parâmetros!$J$2:$K$5,2,FALSE),""))</f>
        <v/>
      </c>
      <c r="Y351" s="4">
        <f>IF(OR(C351="",X351=""),"",C351+X351)</f>
        <v/>
      </c>
      <c r="Z351" s="5">
        <f>IF(C351="","",IF(Q351="Concluído","Concluído",IF(Y351&lt;TODAY(),"Vencido",IF(Y351-TODAY()&lt;=2,"A vencer","No prazo"))))</f>
        <v/>
      </c>
      <c r="AA351" s="3">
        <f>IF(OR(Y351="",Q351="Concluído"),"",Y351-TODAY())</f>
        <v/>
      </c>
      <c r="AB351" s="5" t="n"/>
      <c r="AC351" s="5" t="n"/>
      <c r="AD351" s="4" t="n"/>
    </row>
    <row r="352">
      <c r="A352" s="3">
        <f>IF(C352="","",ROW()-1)</f>
        <v/>
      </c>
      <c r="B352" s="4" t="n"/>
      <c r="C352" s="4" t="n"/>
      <c r="D352" s="5" t="n"/>
      <c r="E352" s="5" t="n"/>
      <c r="F352" s="5" t="n"/>
      <c r="G352" s="5" t="n"/>
      <c r="H352" s="5" t="n"/>
      <c r="I352" s="5" t="n"/>
      <c r="J352" s="5" t="n"/>
      <c r="K352" s="6" t="n"/>
      <c r="L352" s="6" t="n"/>
      <c r="M352" s="6" t="n"/>
      <c r="N352" s="5" t="n"/>
      <c r="O352" s="21" t="n"/>
      <c r="P352" s="5" t="n"/>
      <c r="Q352" s="5" t="n"/>
      <c r="R352" s="6" t="n"/>
      <c r="S352" s="4" t="n"/>
      <c r="T352" s="4" t="n"/>
      <c r="U352" s="3">
        <f>IF(C352="","",IF(T352="",TODAY()-C352,T352-C352))</f>
        <v/>
      </c>
      <c r="V352" s="5" t="n"/>
      <c r="W352" s="6" t="n"/>
      <c r="X352" s="3">
        <f>IF(P352="","",IFERROR(VLOOKUP(P352,Parâmetros!$J$2:$K$5,2,FALSE),""))</f>
        <v/>
      </c>
      <c r="Y352" s="4">
        <f>IF(OR(C352="",X352=""),"",C352+X352)</f>
        <v/>
      </c>
      <c r="Z352" s="5">
        <f>IF(C352="","",IF(Q352="Concluído","Concluído",IF(Y352&lt;TODAY(),"Vencido",IF(Y352-TODAY()&lt;=2,"A vencer","No prazo"))))</f>
        <v/>
      </c>
      <c r="AA352" s="3">
        <f>IF(OR(Y352="",Q352="Concluído"),"",Y352-TODAY())</f>
        <v/>
      </c>
      <c r="AB352" s="5" t="n"/>
      <c r="AC352" s="5" t="n"/>
      <c r="AD352" s="4" t="n"/>
    </row>
    <row r="353">
      <c r="A353" s="3">
        <f>IF(C353="","",ROW()-1)</f>
        <v/>
      </c>
      <c r="B353" s="4" t="n"/>
      <c r="C353" s="4" t="n"/>
      <c r="D353" s="5" t="n"/>
      <c r="E353" s="5" t="n"/>
      <c r="F353" s="5" t="n"/>
      <c r="G353" s="5" t="n"/>
      <c r="H353" s="5" t="n"/>
      <c r="I353" s="5" t="n"/>
      <c r="J353" s="5" t="n"/>
      <c r="K353" s="6" t="n"/>
      <c r="L353" s="6" t="n"/>
      <c r="M353" s="6" t="n"/>
      <c r="N353" s="5" t="n"/>
      <c r="O353" s="21" t="n"/>
      <c r="P353" s="5" t="n"/>
      <c r="Q353" s="5" t="n"/>
      <c r="R353" s="6" t="n"/>
      <c r="S353" s="4" t="n"/>
      <c r="T353" s="4" t="n"/>
      <c r="U353" s="3">
        <f>IF(C353="","",IF(T353="",TODAY()-C353,T353-C353))</f>
        <v/>
      </c>
      <c r="V353" s="5" t="n"/>
      <c r="W353" s="6" t="n"/>
      <c r="X353" s="3">
        <f>IF(P353="","",IFERROR(VLOOKUP(P353,Parâmetros!$J$2:$K$5,2,FALSE),""))</f>
        <v/>
      </c>
      <c r="Y353" s="4">
        <f>IF(OR(C353="",X353=""),"",C353+X353)</f>
        <v/>
      </c>
      <c r="Z353" s="5">
        <f>IF(C353="","",IF(Q353="Concluído","Concluído",IF(Y353&lt;TODAY(),"Vencido",IF(Y353-TODAY()&lt;=2,"A vencer","No prazo"))))</f>
        <v/>
      </c>
      <c r="AA353" s="3">
        <f>IF(OR(Y353="",Q353="Concluído"),"",Y353-TODAY())</f>
        <v/>
      </c>
      <c r="AB353" s="5" t="n"/>
      <c r="AC353" s="5" t="n"/>
      <c r="AD353" s="4" t="n"/>
    </row>
    <row r="354">
      <c r="A354" s="3">
        <f>IF(C354="","",ROW()-1)</f>
        <v/>
      </c>
      <c r="B354" s="4" t="n"/>
      <c r="C354" s="4" t="n"/>
      <c r="D354" s="5" t="n"/>
      <c r="E354" s="5" t="n"/>
      <c r="F354" s="5" t="n"/>
      <c r="G354" s="5" t="n"/>
      <c r="H354" s="5" t="n"/>
      <c r="I354" s="5" t="n"/>
      <c r="J354" s="5" t="n"/>
      <c r="K354" s="6" t="n"/>
      <c r="L354" s="6" t="n"/>
      <c r="M354" s="6" t="n"/>
      <c r="N354" s="5" t="n"/>
      <c r="O354" s="21" t="n"/>
      <c r="P354" s="5" t="n"/>
      <c r="Q354" s="5" t="n"/>
      <c r="R354" s="6" t="n"/>
      <c r="S354" s="4" t="n"/>
      <c r="T354" s="4" t="n"/>
      <c r="U354" s="3">
        <f>IF(C354="","",IF(T354="",TODAY()-C354,T354-C354))</f>
        <v/>
      </c>
      <c r="V354" s="5" t="n"/>
      <c r="W354" s="6" t="n"/>
      <c r="X354" s="3">
        <f>IF(P354="","",IFERROR(VLOOKUP(P354,Parâmetros!$J$2:$K$5,2,FALSE),""))</f>
        <v/>
      </c>
      <c r="Y354" s="4">
        <f>IF(OR(C354="",X354=""),"",C354+X354)</f>
        <v/>
      </c>
      <c r="Z354" s="5">
        <f>IF(C354="","",IF(Q354="Concluído","Concluído",IF(Y354&lt;TODAY(),"Vencido",IF(Y354-TODAY()&lt;=2,"A vencer","No prazo"))))</f>
        <v/>
      </c>
      <c r="AA354" s="3">
        <f>IF(OR(Y354="",Q354="Concluído"),"",Y354-TODAY())</f>
        <v/>
      </c>
      <c r="AB354" s="5" t="n"/>
      <c r="AC354" s="5" t="n"/>
      <c r="AD354" s="4" t="n"/>
    </row>
    <row r="355">
      <c r="A355" s="3">
        <f>IF(C355="","",ROW()-1)</f>
        <v/>
      </c>
      <c r="B355" s="4" t="n"/>
      <c r="C355" s="4" t="n"/>
      <c r="D355" s="5" t="n"/>
      <c r="E355" s="5" t="n"/>
      <c r="F355" s="5" t="n"/>
      <c r="G355" s="5" t="n"/>
      <c r="H355" s="5" t="n"/>
      <c r="I355" s="5" t="n"/>
      <c r="J355" s="5" t="n"/>
      <c r="K355" s="6" t="n"/>
      <c r="L355" s="6" t="n"/>
      <c r="M355" s="6" t="n"/>
      <c r="N355" s="5" t="n"/>
      <c r="O355" s="21" t="n"/>
      <c r="P355" s="5" t="n"/>
      <c r="Q355" s="5" t="n"/>
      <c r="R355" s="6" t="n"/>
      <c r="S355" s="4" t="n"/>
      <c r="T355" s="4" t="n"/>
      <c r="U355" s="3">
        <f>IF(C355="","",IF(T355="",TODAY()-C355,T355-C355))</f>
        <v/>
      </c>
      <c r="V355" s="5" t="n"/>
      <c r="W355" s="6" t="n"/>
      <c r="X355" s="3">
        <f>IF(P355="","",IFERROR(VLOOKUP(P355,Parâmetros!$J$2:$K$5,2,FALSE),""))</f>
        <v/>
      </c>
      <c r="Y355" s="4">
        <f>IF(OR(C355="",X355=""),"",C355+X355)</f>
        <v/>
      </c>
      <c r="Z355" s="5">
        <f>IF(C355="","",IF(Q355="Concluído","Concluído",IF(Y355&lt;TODAY(),"Vencido",IF(Y355-TODAY()&lt;=2,"A vencer","No prazo"))))</f>
        <v/>
      </c>
      <c r="AA355" s="3">
        <f>IF(OR(Y355="",Q355="Concluído"),"",Y355-TODAY())</f>
        <v/>
      </c>
      <c r="AB355" s="5" t="n"/>
      <c r="AC355" s="5" t="n"/>
      <c r="AD355" s="4" t="n"/>
    </row>
    <row r="356">
      <c r="A356" s="3">
        <f>IF(C356="","",ROW()-1)</f>
        <v/>
      </c>
      <c r="B356" s="4" t="n"/>
      <c r="C356" s="4" t="n"/>
      <c r="D356" s="5" t="n"/>
      <c r="E356" s="5" t="n"/>
      <c r="F356" s="5" t="n"/>
      <c r="G356" s="5" t="n"/>
      <c r="H356" s="5" t="n"/>
      <c r="I356" s="5" t="n"/>
      <c r="J356" s="5" t="n"/>
      <c r="K356" s="6" t="n"/>
      <c r="L356" s="6" t="n"/>
      <c r="M356" s="6" t="n"/>
      <c r="N356" s="5" t="n"/>
      <c r="O356" s="21" t="n"/>
      <c r="P356" s="5" t="n"/>
      <c r="Q356" s="5" t="n"/>
      <c r="R356" s="6" t="n"/>
      <c r="S356" s="4" t="n"/>
      <c r="T356" s="4" t="n"/>
      <c r="U356" s="3">
        <f>IF(C356="","",IF(T356="",TODAY()-C356,T356-C356))</f>
        <v/>
      </c>
      <c r="V356" s="5" t="n"/>
      <c r="W356" s="6" t="n"/>
      <c r="X356" s="3">
        <f>IF(P356="","",IFERROR(VLOOKUP(P356,Parâmetros!$J$2:$K$5,2,FALSE),""))</f>
        <v/>
      </c>
      <c r="Y356" s="4">
        <f>IF(OR(C356="",X356=""),"",C356+X356)</f>
        <v/>
      </c>
      <c r="Z356" s="5">
        <f>IF(C356="","",IF(Q356="Concluído","Concluído",IF(Y356&lt;TODAY(),"Vencido",IF(Y356-TODAY()&lt;=2,"A vencer","No prazo"))))</f>
        <v/>
      </c>
      <c r="AA356" s="3">
        <f>IF(OR(Y356="",Q356="Concluído"),"",Y356-TODAY())</f>
        <v/>
      </c>
      <c r="AB356" s="5" t="n"/>
      <c r="AC356" s="5" t="n"/>
      <c r="AD356" s="4" t="n"/>
    </row>
    <row r="357">
      <c r="A357" s="3">
        <f>IF(C357="","",ROW()-1)</f>
        <v/>
      </c>
      <c r="B357" s="4" t="n"/>
      <c r="C357" s="4" t="n"/>
      <c r="D357" s="5" t="n"/>
      <c r="E357" s="5" t="n"/>
      <c r="F357" s="5" t="n"/>
      <c r="G357" s="5" t="n"/>
      <c r="H357" s="5" t="n"/>
      <c r="I357" s="5" t="n"/>
      <c r="J357" s="5" t="n"/>
      <c r="K357" s="6" t="n"/>
      <c r="L357" s="6" t="n"/>
      <c r="M357" s="6" t="n"/>
      <c r="N357" s="5" t="n"/>
      <c r="O357" s="21" t="n"/>
      <c r="P357" s="5" t="n"/>
      <c r="Q357" s="5" t="n"/>
      <c r="R357" s="6" t="n"/>
      <c r="S357" s="4" t="n"/>
      <c r="T357" s="4" t="n"/>
      <c r="U357" s="3">
        <f>IF(C357="","",IF(T357="",TODAY()-C357,T357-C357))</f>
        <v/>
      </c>
      <c r="V357" s="5" t="n"/>
      <c r="W357" s="6" t="n"/>
      <c r="X357" s="3">
        <f>IF(P357="","",IFERROR(VLOOKUP(P357,Parâmetros!$J$2:$K$5,2,FALSE),""))</f>
        <v/>
      </c>
      <c r="Y357" s="4">
        <f>IF(OR(C357="",X357=""),"",C357+X357)</f>
        <v/>
      </c>
      <c r="Z357" s="5">
        <f>IF(C357="","",IF(Q357="Concluído","Concluído",IF(Y357&lt;TODAY(),"Vencido",IF(Y357-TODAY()&lt;=2,"A vencer","No prazo"))))</f>
        <v/>
      </c>
      <c r="AA357" s="3">
        <f>IF(OR(Y357="",Q357="Concluído"),"",Y357-TODAY())</f>
        <v/>
      </c>
      <c r="AB357" s="5" t="n"/>
      <c r="AC357" s="5" t="n"/>
      <c r="AD357" s="4" t="n"/>
    </row>
    <row r="358">
      <c r="A358" s="3">
        <f>IF(C358="","",ROW()-1)</f>
        <v/>
      </c>
      <c r="B358" s="4" t="n"/>
      <c r="C358" s="4" t="n"/>
      <c r="D358" s="5" t="n"/>
      <c r="E358" s="5" t="n"/>
      <c r="F358" s="5" t="n"/>
      <c r="G358" s="5" t="n"/>
      <c r="H358" s="5" t="n"/>
      <c r="I358" s="5" t="n"/>
      <c r="J358" s="5" t="n"/>
      <c r="K358" s="6" t="n"/>
      <c r="L358" s="6" t="n"/>
      <c r="M358" s="6" t="n"/>
      <c r="N358" s="5" t="n"/>
      <c r="O358" s="21" t="n"/>
      <c r="P358" s="5" t="n"/>
      <c r="Q358" s="5" t="n"/>
      <c r="R358" s="6" t="n"/>
      <c r="S358" s="4" t="n"/>
      <c r="T358" s="4" t="n"/>
      <c r="U358" s="3">
        <f>IF(C358="","",IF(T358="",TODAY()-C358,T358-C358))</f>
        <v/>
      </c>
      <c r="V358" s="5" t="n"/>
      <c r="W358" s="6" t="n"/>
      <c r="X358" s="3">
        <f>IF(P358="","",IFERROR(VLOOKUP(P358,Parâmetros!$J$2:$K$5,2,FALSE),""))</f>
        <v/>
      </c>
      <c r="Y358" s="4">
        <f>IF(OR(C358="",X358=""),"",C358+X358)</f>
        <v/>
      </c>
      <c r="Z358" s="5">
        <f>IF(C358="","",IF(Q358="Concluído","Concluído",IF(Y358&lt;TODAY(),"Vencido",IF(Y358-TODAY()&lt;=2,"A vencer","No prazo"))))</f>
        <v/>
      </c>
      <c r="AA358" s="3">
        <f>IF(OR(Y358="",Q358="Concluído"),"",Y358-TODAY())</f>
        <v/>
      </c>
      <c r="AB358" s="5" t="n"/>
      <c r="AC358" s="5" t="n"/>
      <c r="AD358" s="4" t="n"/>
    </row>
    <row r="359">
      <c r="A359" s="3">
        <f>IF(C359="","",ROW()-1)</f>
        <v/>
      </c>
      <c r="B359" s="4" t="n"/>
      <c r="C359" s="4" t="n"/>
      <c r="D359" s="5" t="n"/>
      <c r="E359" s="5" t="n"/>
      <c r="F359" s="5" t="n"/>
      <c r="G359" s="5" t="n"/>
      <c r="H359" s="5" t="n"/>
      <c r="I359" s="5" t="n"/>
      <c r="J359" s="5" t="n"/>
      <c r="K359" s="6" t="n"/>
      <c r="L359" s="6" t="n"/>
      <c r="M359" s="6" t="n"/>
      <c r="N359" s="5" t="n"/>
      <c r="O359" s="21" t="n"/>
      <c r="P359" s="5" t="n"/>
      <c r="Q359" s="5" t="n"/>
      <c r="R359" s="6" t="n"/>
      <c r="S359" s="4" t="n"/>
      <c r="T359" s="4" t="n"/>
      <c r="U359" s="3">
        <f>IF(C359="","",IF(T359="",TODAY()-C359,T359-C359))</f>
        <v/>
      </c>
      <c r="V359" s="5" t="n"/>
      <c r="W359" s="6" t="n"/>
      <c r="X359" s="3">
        <f>IF(P359="","",IFERROR(VLOOKUP(P359,Parâmetros!$J$2:$K$5,2,FALSE),""))</f>
        <v/>
      </c>
      <c r="Y359" s="4">
        <f>IF(OR(C359="",X359=""),"",C359+X359)</f>
        <v/>
      </c>
      <c r="Z359" s="5">
        <f>IF(C359="","",IF(Q359="Concluído","Concluído",IF(Y359&lt;TODAY(),"Vencido",IF(Y359-TODAY()&lt;=2,"A vencer","No prazo"))))</f>
        <v/>
      </c>
      <c r="AA359" s="3">
        <f>IF(OR(Y359="",Q359="Concluído"),"",Y359-TODAY())</f>
        <v/>
      </c>
      <c r="AB359" s="5" t="n"/>
      <c r="AC359" s="5" t="n"/>
      <c r="AD359" s="4" t="n"/>
    </row>
    <row r="360">
      <c r="A360" s="3">
        <f>IF(C360="","",ROW()-1)</f>
        <v/>
      </c>
      <c r="B360" s="4" t="n"/>
      <c r="C360" s="4" t="n"/>
      <c r="D360" s="5" t="n"/>
      <c r="E360" s="5" t="n"/>
      <c r="F360" s="5" t="n"/>
      <c r="G360" s="5" t="n"/>
      <c r="H360" s="5" t="n"/>
      <c r="I360" s="5" t="n"/>
      <c r="J360" s="5" t="n"/>
      <c r="K360" s="6" t="n"/>
      <c r="L360" s="6" t="n"/>
      <c r="M360" s="6" t="n"/>
      <c r="N360" s="5" t="n"/>
      <c r="O360" s="21" t="n"/>
      <c r="P360" s="5" t="n"/>
      <c r="Q360" s="5" t="n"/>
      <c r="R360" s="6" t="n"/>
      <c r="S360" s="4" t="n"/>
      <c r="T360" s="4" t="n"/>
      <c r="U360" s="3">
        <f>IF(C360="","",IF(T360="",TODAY()-C360,T360-C360))</f>
        <v/>
      </c>
      <c r="V360" s="5" t="n"/>
      <c r="W360" s="6" t="n"/>
      <c r="X360" s="3">
        <f>IF(P360="","",IFERROR(VLOOKUP(P360,Parâmetros!$J$2:$K$5,2,FALSE),""))</f>
        <v/>
      </c>
      <c r="Y360" s="4">
        <f>IF(OR(C360="",X360=""),"",C360+X360)</f>
        <v/>
      </c>
      <c r="Z360" s="5">
        <f>IF(C360="","",IF(Q360="Concluído","Concluído",IF(Y360&lt;TODAY(),"Vencido",IF(Y360-TODAY()&lt;=2,"A vencer","No prazo"))))</f>
        <v/>
      </c>
      <c r="AA360" s="3">
        <f>IF(OR(Y360="",Q360="Concluído"),"",Y360-TODAY())</f>
        <v/>
      </c>
      <c r="AB360" s="5" t="n"/>
      <c r="AC360" s="5" t="n"/>
      <c r="AD360" s="4" t="n"/>
    </row>
    <row r="361">
      <c r="A361" s="3">
        <f>IF(C361="","",ROW()-1)</f>
        <v/>
      </c>
      <c r="B361" s="4" t="n"/>
      <c r="C361" s="4" t="n"/>
      <c r="D361" s="5" t="n"/>
      <c r="E361" s="5" t="n"/>
      <c r="F361" s="5" t="n"/>
      <c r="G361" s="5" t="n"/>
      <c r="H361" s="5" t="n"/>
      <c r="I361" s="5" t="n"/>
      <c r="J361" s="5" t="n"/>
      <c r="K361" s="6" t="n"/>
      <c r="L361" s="6" t="n"/>
      <c r="M361" s="6" t="n"/>
      <c r="N361" s="5" t="n"/>
      <c r="O361" s="21" t="n"/>
      <c r="P361" s="5" t="n"/>
      <c r="Q361" s="5" t="n"/>
      <c r="R361" s="6" t="n"/>
      <c r="S361" s="4" t="n"/>
      <c r="T361" s="4" t="n"/>
      <c r="U361" s="3">
        <f>IF(C361="","",IF(T361="",TODAY()-C361,T361-C361))</f>
        <v/>
      </c>
      <c r="V361" s="5" t="n"/>
      <c r="W361" s="6" t="n"/>
      <c r="X361" s="3">
        <f>IF(P361="","",IFERROR(VLOOKUP(P361,Parâmetros!$J$2:$K$5,2,FALSE),""))</f>
        <v/>
      </c>
      <c r="Y361" s="4">
        <f>IF(OR(C361="",X361=""),"",C361+X361)</f>
        <v/>
      </c>
      <c r="Z361" s="5">
        <f>IF(C361="","",IF(Q361="Concluído","Concluído",IF(Y361&lt;TODAY(),"Vencido",IF(Y361-TODAY()&lt;=2,"A vencer","No prazo"))))</f>
        <v/>
      </c>
      <c r="AA361" s="3">
        <f>IF(OR(Y361="",Q361="Concluído"),"",Y361-TODAY())</f>
        <v/>
      </c>
      <c r="AB361" s="5" t="n"/>
      <c r="AC361" s="5" t="n"/>
      <c r="AD361" s="4" t="n"/>
    </row>
    <row r="362">
      <c r="A362" s="3">
        <f>IF(C362="","",ROW()-1)</f>
        <v/>
      </c>
      <c r="B362" s="4" t="n"/>
      <c r="C362" s="4" t="n"/>
      <c r="D362" s="5" t="n"/>
      <c r="E362" s="5" t="n"/>
      <c r="F362" s="5" t="n"/>
      <c r="G362" s="5" t="n"/>
      <c r="H362" s="5" t="n"/>
      <c r="I362" s="5" t="n"/>
      <c r="J362" s="5" t="n"/>
      <c r="K362" s="6" t="n"/>
      <c r="L362" s="6" t="n"/>
      <c r="M362" s="6" t="n"/>
      <c r="N362" s="5" t="n"/>
      <c r="O362" s="21" t="n"/>
      <c r="P362" s="5" t="n"/>
      <c r="Q362" s="5" t="n"/>
      <c r="R362" s="6" t="n"/>
      <c r="S362" s="4" t="n"/>
      <c r="T362" s="4" t="n"/>
      <c r="U362" s="3">
        <f>IF(C362="","",IF(T362="",TODAY()-C362,T362-C362))</f>
        <v/>
      </c>
      <c r="V362" s="5" t="n"/>
      <c r="W362" s="6" t="n"/>
      <c r="X362" s="3">
        <f>IF(P362="","",IFERROR(VLOOKUP(P362,Parâmetros!$J$2:$K$5,2,FALSE),""))</f>
        <v/>
      </c>
      <c r="Y362" s="4">
        <f>IF(OR(C362="",X362=""),"",C362+X362)</f>
        <v/>
      </c>
      <c r="Z362" s="5">
        <f>IF(C362="","",IF(Q362="Concluído","Concluído",IF(Y362&lt;TODAY(),"Vencido",IF(Y362-TODAY()&lt;=2,"A vencer","No prazo"))))</f>
        <v/>
      </c>
      <c r="AA362" s="3">
        <f>IF(OR(Y362="",Q362="Concluído"),"",Y362-TODAY())</f>
        <v/>
      </c>
      <c r="AB362" s="5" t="n"/>
      <c r="AC362" s="5" t="n"/>
      <c r="AD362" s="4" t="n"/>
    </row>
    <row r="363">
      <c r="A363" s="3">
        <f>IF(C363="","",ROW()-1)</f>
        <v/>
      </c>
      <c r="B363" s="4" t="n"/>
      <c r="C363" s="4" t="n"/>
      <c r="D363" s="5" t="n"/>
      <c r="E363" s="5" t="n"/>
      <c r="F363" s="5" t="n"/>
      <c r="G363" s="5" t="n"/>
      <c r="H363" s="5" t="n"/>
      <c r="I363" s="5" t="n"/>
      <c r="J363" s="5" t="n"/>
      <c r="K363" s="6" t="n"/>
      <c r="L363" s="6" t="n"/>
      <c r="M363" s="6" t="n"/>
      <c r="N363" s="5" t="n"/>
      <c r="O363" s="21" t="n"/>
      <c r="P363" s="5" t="n"/>
      <c r="Q363" s="5" t="n"/>
      <c r="R363" s="6" t="n"/>
      <c r="S363" s="4" t="n"/>
      <c r="T363" s="4" t="n"/>
      <c r="U363" s="3">
        <f>IF(C363="","",IF(T363="",TODAY()-C363,T363-C363))</f>
        <v/>
      </c>
      <c r="V363" s="5" t="n"/>
      <c r="W363" s="6" t="n"/>
      <c r="X363" s="3">
        <f>IF(P363="","",IFERROR(VLOOKUP(P363,Parâmetros!$J$2:$K$5,2,FALSE),""))</f>
        <v/>
      </c>
      <c r="Y363" s="4">
        <f>IF(OR(C363="",X363=""),"",C363+X363)</f>
        <v/>
      </c>
      <c r="Z363" s="5">
        <f>IF(C363="","",IF(Q363="Concluído","Concluído",IF(Y363&lt;TODAY(),"Vencido",IF(Y363-TODAY()&lt;=2,"A vencer","No prazo"))))</f>
        <v/>
      </c>
      <c r="AA363" s="3">
        <f>IF(OR(Y363="",Q363="Concluído"),"",Y363-TODAY())</f>
        <v/>
      </c>
      <c r="AB363" s="5" t="n"/>
      <c r="AC363" s="5" t="n"/>
      <c r="AD363" s="4" t="n"/>
    </row>
    <row r="364">
      <c r="A364" s="3">
        <f>IF(C364="","",ROW()-1)</f>
        <v/>
      </c>
      <c r="B364" s="4" t="n"/>
      <c r="C364" s="4" t="n"/>
      <c r="D364" s="5" t="n"/>
      <c r="E364" s="5" t="n"/>
      <c r="F364" s="5" t="n"/>
      <c r="G364" s="5" t="n"/>
      <c r="H364" s="5" t="n"/>
      <c r="I364" s="5" t="n"/>
      <c r="J364" s="5" t="n"/>
      <c r="K364" s="6" t="n"/>
      <c r="L364" s="6" t="n"/>
      <c r="M364" s="6" t="n"/>
      <c r="N364" s="5" t="n"/>
      <c r="O364" s="21" t="n"/>
      <c r="P364" s="5" t="n"/>
      <c r="Q364" s="5" t="n"/>
      <c r="R364" s="6" t="n"/>
      <c r="S364" s="4" t="n"/>
      <c r="T364" s="4" t="n"/>
      <c r="U364" s="3">
        <f>IF(C364="","",IF(T364="",TODAY()-C364,T364-C364))</f>
        <v/>
      </c>
      <c r="V364" s="5" t="n"/>
      <c r="W364" s="6" t="n"/>
      <c r="X364" s="3">
        <f>IF(P364="","",IFERROR(VLOOKUP(P364,Parâmetros!$J$2:$K$5,2,FALSE),""))</f>
        <v/>
      </c>
      <c r="Y364" s="4">
        <f>IF(OR(C364="",X364=""),"",C364+X364)</f>
        <v/>
      </c>
      <c r="Z364" s="5">
        <f>IF(C364="","",IF(Q364="Concluído","Concluído",IF(Y364&lt;TODAY(),"Vencido",IF(Y364-TODAY()&lt;=2,"A vencer","No prazo"))))</f>
        <v/>
      </c>
      <c r="AA364" s="3">
        <f>IF(OR(Y364="",Q364="Concluído"),"",Y364-TODAY())</f>
        <v/>
      </c>
      <c r="AB364" s="5" t="n"/>
      <c r="AC364" s="5" t="n"/>
      <c r="AD364" s="4" t="n"/>
    </row>
    <row r="365">
      <c r="A365" s="3">
        <f>IF(C365="","",ROW()-1)</f>
        <v/>
      </c>
      <c r="B365" s="4" t="n"/>
      <c r="C365" s="4" t="n"/>
      <c r="D365" s="5" t="n"/>
      <c r="E365" s="5" t="n"/>
      <c r="F365" s="5" t="n"/>
      <c r="G365" s="5" t="n"/>
      <c r="H365" s="5" t="n"/>
      <c r="I365" s="5" t="n"/>
      <c r="J365" s="5" t="n"/>
      <c r="K365" s="6" t="n"/>
      <c r="L365" s="6" t="n"/>
      <c r="M365" s="6" t="n"/>
      <c r="N365" s="5" t="n"/>
      <c r="O365" s="21" t="n"/>
      <c r="P365" s="5" t="n"/>
      <c r="Q365" s="5" t="n"/>
      <c r="R365" s="6" t="n"/>
      <c r="S365" s="4" t="n"/>
      <c r="T365" s="4" t="n"/>
      <c r="U365" s="3">
        <f>IF(C365="","",IF(T365="",TODAY()-C365,T365-C365))</f>
        <v/>
      </c>
      <c r="V365" s="5" t="n"/>
      <c r="W365" s="6" t="n"/>
      <c r="X365" s="3">
        <f>IF(P365="","",IFERROR(VLOOKUP(P365,Parâmetros!$J$2:$K$5,2,FALSE),""))</f>
        <v/>
      </c>
      <c r="Y365" s="4">
        <f>IF(OR(C365="",X365=""),"",C365+X365)</f>
        <v/>
      </c>
      <c r="Z365" s="5">
        <f>IF(C365="","",IF(Q365="Concluído","Concluído",IF(Y365&lt;TODAY(),"Vencido",IF(Y365-TODAY()&lt;=2,"A vencer","No prazo"))))</f>
        <v/>
      </c>
      <c r="AA365" s="3">
        <f>IF(OR(Y365="",Q365="Concluído"),"",Y365-TODAY())</f>
        <v/>
      </c>
      <c r="AB365" s="5" t="n"/>
      <c r="AC365" s="5" t="n"/>
      <c r="AD365" s="4" t="n"/>
    </row>
    <row r="366">
      <c r="A366" s="3">
        <f>IF(C366="","",ROW()-1)</f>
        <v/>
      </c>
      <c r="B366" s="4" t="n"/>
      <c r="C366" s="4" t="n"/>
      <c r="D366" s="5" t="n"/>
      <c r="E366" s="5" t="n"/>
      <c r="F366" s="5" t="n"/>
      <c r="G366" s="5" t="n"/>
      <c r="H366" s="5" t="n"/>
      <c r="I366" s="5" t="n"/>
      <c r="J366" s="5" t="n"/>
      <c r="K366" s="6" t="n"/>
      <c r="L366" s="6" t="n"/>
      <c r="M366" s="6" t="n"/>
      <c r="N366" s="5" t="n"/>
      <c r="O366" s="21" t="n"/>
      <c r="P366" s="5" t="n"/>
      <c r="Q366" s="5" t="n"/>
      <c r="R366" s="6" t="n"/>
      <c r="S366" s="4" t="n"/>
      <c r="T366" s="4" t="n"/>
      <c r="U366" s="3">
        <f>IF(C366="","",IF(T366="",TODAY()-C366,T366-C366))</f>
        <v/>
      </c>
      <c r="V366" s="5" t="n"/>
      <c r="W366" s="6" t="n"/>
      <c r="X366" s="3">
        <f>IF(P366="","",IFERROR(VLOOKUP(P366,Parâmetros!$J$2:$K$5,2,FALSE),""))</f>
        <v/>
      </c>
      <c r="Y366" s="4">
        <f>IF(OR(C366="",X366=""),"",C366+X366)</f>
        <v/>
      </c>
      <c r="Z366" s="5">
        <f>IF(C366="","",IF(Q366="Concluído","Concluído",IF(Y366&lt;TODAY(),"Vencido",IF(Y366-TODAY()&lt;=2,"A vencer","No prazo"))))</f>
        <v/>
      </c>
      <c r="AA366" s="3">
        <f>IF(OR(Y366="",Q366="Concluído"),"",Y366-TODAY())</f>
        <v/>
      </c>
      <c r="AB366" s="5" t="n"/>
      <c r="AC366" s="5" t="n"/>
      <c r="AD366" s="4" t="n"/>
    </row>
    <row r="367">
      <c r="A367" s="3">
        <f>IF(C367="","",ROW()-1)</f>
        <v/>
      </c>
      <c r="B367" s="4" t="n"/>
      <c r="C367" s="4" t="n"/>
      <c r="D367" s="5" t="n"/>
      <c r="E367" s="5" t="n"/>
      <c r="F367" s="5" t="n"/>
      <c r="G367" s="5" t="n"/>
      <c r="H367" s="5" t="n"/>
      <c r="I367" s="5" t="n"/>
      <c r="J367" s="5" t="n"/>
      <c r="K367" s="6" t="n"/>
      <c r="L367" s="6" t="n"/>
      <c r="M367" s="6" t="n"/>
      <c r="N367" s="5" t="n"/>
      <c r="O367" s="21" t="n"/>
      <c r="P367" s="5" t="n"/>
      <c r="Q367" s="5" t="n"/>
      <c r="R367" s="6" t="n"/>
      <c r="S367" s="4" t="n"/>
      <c r="T367" s="4" t="n"/>
      <c r="U367" s="3">
        <f>IF(C367="","",IF(T367="",TODAY()-C367,T367-C367))</f>
        <v/>
      </c>
      <c r="V367" s="5" t="n"/>
      <c r="W367" s="6" t="n"/>
      <c r="X367" s="3">
        <f>IF(P367="","",IFERROR(VLOOKUP(P367,Parâmetros!$J$2:$K$5,2,FALSE),""))</f>
        <v/>
      </c>
      <c r="Y367" s="4">
        <f>IF(OR(C367="",X367=""),"",C367+X367)</f>
        <v/>
      </c>
      <c r="Z367" s="5">
        <f>IF(C367="","",IF(Q367="Concluído","Concluído",IF(Y367&lt;TODAY(),"Vencido",IF(Y367-TODAY()&lt;=2,"A vencer","No prazo"))))</f>
        <v/>
      </c>
      <c r="AA367" s="3">
        <f>IF(OR(Y367="",Q367="Concluído"),"",Y367-TODAY())</f>
        <v/>
      </c>
      <c r="AB367" s="5" t="n"/>
      <c r="AC367" s="5" t="n"/>
      <c r="AD367" s="4" t="n"/>
    </row>
    <row r="368">
      <c r="A368" s="3">
        <f>IF(C368="","",ROW()-1)</f>
        <v/>
      </c>
      <c r="B368" s="4" t="n"/>
      <c r="C368" s="4" t="n"/>
      <c r="D368" s="5" t="n"/>
      <c r="E368" s="5" t="n"/>
      <c r="F368" s="5" t="n"/>
      <c r="G368" s="5" t="n"/>
      <c r="H368" s="5" t="n"/>
      <c r="I368" s="5" t="n"/>
      <c r="J368" s="5" t="n"/>
      <c r="K368" s="6" t="n"/>
      <c r="L368" s="6" t="n"/>
      <c r="M368" s="6" t="n"/>
      <c r="N368" s="5" t="n"/>
      <c r="O368" s="21" t="n"/>
      <c r="P368" s="5" t="n"/>
      <c r="Q368" s="5" t="n"/>
      <c r="R368" s="6" t="n"/>
      <c r="S368" s="4" t="n"/>
      <c r="T368" s="4" t="n"/>
      <c r="U368" s="3">
        <f>IF(C368="","",IF(T368="",TODAY()-C368,T368-C368))</f>
        <v/>
      </c>
      <c r="V368" s="5" t="n"/>
      <c r="W368" s="6" t="n"/>
      <c r="X368" s="3">
        <f>IF(P368="","",IFERROR(VLOOKUP(P368,Parâmetros!$J$2:$K$5,2,FALSE),""))</f>
        <v/>
      </c>
      <c r="Y368" s="4">
        <f>IF(OR(C368="",X368=""),"",C368+X368)</f>
        <v/>
      </c>
      <c r="Z368" s="5">
        <f>IF(C368="","",IF(Q368="Concluído","Concluído",IF(Y368&lt;TODAY(),"Vencido",IF(Y368-TODAY()&lt;=2,"A vencer","No prazo"))))</f>
        <v/>
      </c>
      <c r="AA368" s="3">
        <f>IF(OR(Y368="",Q368="Concluído"),"",Y368-TODAY())</f>
        <v/>
      </c>
      <c r="AB368" s="5" t="n"/>
      <c r="AC368" s="5" t="n"/>
      <c r="AD368" s="4" t="n"/>
    </row>
    <row r="369">
      <c r="A369" s="3">
        <f>IF(C369="","",ROW()-1)</f>
        <v/>
      </c>
      <c r="B369" s="4" t="n"/>
      <c r="C369" s="4" t="n"/>
      <c r="D369" s="5" t="n"/>
      <c r="E369" s="5" t="n"/>
      <c r="F369" s="5" t="n"/>
      <c r="G369" s="5" t="n"/>
      <c r="H369" s="5" t="n"/>
      <c r="I369" s="5" t="n"/>
      <c r="J369" s="5" t="n"/>
      <c r="K369" s="6" t="n"/>
      <c r="L369" s="6" t="n"/>
      <c r="M369" s="6" t="n"/>
      <c r="N369" s="5" t="n"/>
      <c r="O369" s="21" t="n"/>
      <c r="P369" s="5" t="n"/>
      <c r="Q369" s="5" t="n"/>
      <c r="R369" s="6" t="n"/>
      <c r="S369" s="4" t="n"/>
      <c r="T369" s="4" t="n"/>
      <c r="U369" s="3">
        <f>IF(C369="","",IF(T369="",TODAY()-C369,T369-C369))</f>
        <v/>
      </c>
      <c r="V369" s="5" t="n"/>
      <c r="W369" s="6" t="n"/>
      <c r="X369" s="3">
        <f>IF(P369="","",IFERROR(VLOOKUP(P369,Parâmetros!$J$2:$K$5,2,FALSE),""))</f>
        <v/>
      </c>
      <c r="Y369" s="4">
        <f>IF(OR(C369="",X369=""),"",C369+X369)</f>
        <v/>
      </c>
      <c r="Z369" s="5">
        <f>IF(C369="","",IF(Q369="Concluído","Concluído",IF(Y369&lt;TODAY(),"Vencido",IF(Y369-TODAY()&lt;=2,"A vencer","No prazo"))))</f>
        <v/>
      </c>
      <c r="AA369" s="3">
        <f>IF(OR(Y369="",Q369="Concluído"),"",Y369-TODAY())</f>
        <v/>
      </c>
      <c r="AB369" s="5" t="n"/>
      <c r="AC369" s="5" t="n"/>
      <c r="AD369" s="4" t="n"/>
    </row>
    <row r="370">
      <c r="A370" s="3">
        <f>IF(C370="","",ROW()-1)</f>
        <v/>
      </c>
      <c r="B370" s="4" t="n"/>
      <c r="C370" s="4" t="n"/>
      <c r="D370" s="5" t="n"/>
      <c r="E370" s="5" t="n"/>
      <c r="F370" s="5" t="n"/>
      <c r="G370" s="5" t="n"/>
      <c r="H370" s="5" t="n"/>
      <c r="I370" s="5" t="n"/>
      <c r="J370" s="5" t="n"/>
      <c r="K370" s="6" t="n"/>
      <c r="L370" s="6" t="n"/>
      <c r="M370" s="6" t="n"/>
      <c r="N370" s="5" t="n"/>
      <c r="O370" s="21" t="n"/>
      <c r="P370" s="5" t="n"/>
      <c r="Q370" s="5" t="n"/>
      <c r="R370" s="6" t="n"/>
      <c r="S370" s="4" t="n"/>
      <c r="T370" s="4" t="n"/>
      <c r="U370" s="3">
        <f>IF(C370="","",IF(T370="",TODAY()-C370,T370-C370))</f>
        <v/>
      </c>
      <c r="V370" s="5" t="n"/>
      <c r="W370" s="6" t="n"/>
      <c r="X370" s="3">
        <f>IF(P370="","",IFERROR(VLOOKUP(P370,Parâmetros!$J$2:$K$5,2,FALSE),""))</f>
        <v/>
      </c>
      <c r="Y370" s="4">
        <f>IF(OR(C370="",X370=""),"",C370+X370)</f>
        <v/>
      </c>
      <c r="Z370" s="5">
        <f>IF(C370="","",IF(Q370="Concluído","Concluído",IF(Y370&lt;TODAY(),"Vencido",IF(Y370-TODAY()&lt;=2,"A vencer","No prazo"))))</f>
        <v/>
      </c>
      <c r="AA370" s="3">
        <f>IF(OR(Y370="",Q370="Concluído"),"",Y370-TODAY())</f>
        <v/>
      </c>
      <c r="AB370" s="5" t="n"/>
      <c r="AC370" s="5" t="n"/>
      <c r="AD370" s="4" t="n"/>
    </row>
    <row r="371">
      <c r="A371" s="3">
        <f>IF(C371="","",ROW()-1)</f>
        <v/>
      </c>
      <c r="B371" s="4" t="n"/>
      <c r="C371" s="4" t="n"/>
      <c r="D371" s="5" t="n"/>
      <c r="E371" s="5" t="n"/>
      <c r="F371" s="5" t="n"/>
      <c r="G371" s="5" t="n"/>
      <c r="H371" s="5" t="n"/>
      <c r="I371" s="5" t="n"/>
      <c r="J371" s="5" t="n"/>
      <c r="K371" s="6" t="n"/>
      <c r="L371" s="6" t="n"/>
      <c r="M371" s="6" t="n"/>
      <c r="N371" s="5" t="n"/>
      <c r="O371" s="21" t="n"/>
      <c r="P371" s="5" t="n"/>
      <c r="Q371" s="5" t="n"/>
      <c r="R371" s="6" t="n"/>
      <c r="S371" s="4" t="n"/>
      <c r="T371" s="4" t="n"/>
      <c r="U371" s="3">
        <f>IF(C371="","",IF(T371="",TODAY()-C371,T371-C371))</f>
        <v/>
      </c>
      <c r="V371" s="5" t="n"/>
      <c r="W371" s="6" t="n"/>
      <c r="X371" s="3">
        <f>IF(P371="","",IFERROR(VLOOKUP(P371,Parâmetros!$J$2:$K$5,2,FALSE),""))</f>
        <v/>
      </c>
      <c r="Y371" s="4">
        <f>IF(OR(C371="",X371=""),"",C371+X371)</f>
        <v/>
      </c>
      <c r="Z371" s="5">
        <f>IF(C371="","",IF(Q371="Concluído","Concluído",IF(Y371&lt;TODAY(),"Vencido",IF(Y371-TODAY()&lt;=2,"A vencer","No prazo"))))</f>
        <v/>
      </c>
      <c r="AA371" s="3">
        <f>IF(OR(Y371="",Q371="Concluído"),"",Y371-TODAY())</f>
        <v/>
      </c>
      <c r="AB371" s="5" t="n"/>
      <c r="AC371" s="5" t="n"/>
      <c r="AD371" s="4" t="n"/>
    </row>
    <row r="372">
      <c r="A372" s="3">
        <f>IF(C372="","",ROW()-1)</f>
        <v/>
      </c>
      <c r="B372" s="4" t="n"/>
      <c r="C372" s="4" t="n"/>
      <c r="D372" s="5" t="n"/>
      <c r="E372" s="5" t="n"/>
      <c r="F372" s="5" t="n"/>
      <c r="G372" s="5" t="n"/>
      <c r="H372" s="5" t="n"/>
      <c r="I372" s="5" t="n"/>
      <c r="J372" s="5" t="n"/>
      <c r="K372" s="6" t="n"/>
      <c r="L372" s="6" t="n"/>
      <c r="M372" s="6" t="n"/>
      <c r="N372" s="5" t="n"/>
      <c r="O372" s="21" t="n"/>
      <c r="P372" s="5" t="n"/>
      <c r="Q372" s="5" t="n"/>
      <c r="R372" s="6" t="n"/>
      <c r="S372" s="4" t="n"/>
      <c r="T372" s="4" t="n"/>
      <c r="U372" s="3">
        <f>IF(C372="","",IF(T372="",TODAY()-C372,T372-C372))</f>
        <v/>
      </c>
      <c r="V372" s="5" t="n"/>
      <c r="W372" s="6" t="n"/>
      <c r="X372" s="3">
        <f>IF(P372="","",IFERROR(VLOOKUP(P372,Parâmetros!$J$2:$K$5,2,FALSE),""))</f>
        <v/>
      </c>
      <c r="Y372" s="4">
        <f>IF(OR(C372="",X372=""),"",C372+X372)</f>
        <v/>
      </c>
      <c r="Z372" s="5">
        <f>IF(C372="","",IF(Q372="Concluído","Concluído",IF(Y372&lt;TODAY(),"Vencido",IF(Y372-TODAY()&lt;=2,"A vencer","No prazo"))))</f>
        <v/>
      </c>
      <c r="AA372" s="3">
        <f>IF(OR(Y372="",Q372="Concluído"),"",Y372-TODAY())</f>
        <v/>
      </c>
      <c r="AB372" s="5" t="n"/>
      <c r="AC372" s="5" t="n"/>
      <c r="AD372" s="4" t="n"/>
    </row>
    <row r="373">
      <c r="A373" s="3">
        <f>IF(C373="","",ROW()-1)</f>
        <v/>
      </c>
      <c r="B373" s="4" t="n"/>
      <c r="C373" s="4" t="n"/>
      <c r="D373" s="5" t="n"/>
      <c r="E373" s="5" t="n"/>
      <c r="F373" s="5" t="n"/>
      <c r="G373" s="5" t="n"/>
      <c r="H373" s="5" t="n"/>
      <c r="I373" s="5" t="n"/>
      <c r="J373" s="5" t="n"/>
      <c r="K373" s="6" t="n"/>
      <c r="L373" s="6" t="n"/>
      <c r="M373" s="6" t="n"/>
      <c r="N373" s="5" t="n"/>
      <c r="O373" s="21" t="n"/>
      <c r="P373" s="5" t="n"/>
      <c r="Q373" s="5" t="n"/>
      <c r="R373" s="6" t="n"/>
      <c r="S373" s="4" t="n"/>
      <c r="T373" s="4" t="n"/>
      <c r="U373" s="3">
        <f>IF(C373="","",IF(T373="",TODAY()-C373,T373-C373))</f>
        <v/>
      </c>
      <c r="V373" s="5" t="n"/>
      <c r="W373" s="6" t="n"/>
      <c r="X373" s="3">
        <f>IF(P373="","",IFERROR(VLOOKUP(P373,Parâmetros!$J$2:$K$5,2,FALSE),""))</f>
        <v/>
      </c>
      <c r="Y373" s="4">
        <f>IF(OR(C373="",X373=""),"",C373+X373)</f>
        <v/>
      </c>
      <c r="Z373" s="5">
        <f>IF(C373="","",IF(Q373="Concluído","Concluído",IF(Y373&lt;TODAY(),"Vencido",IF(Y373-TODAY()&lt;=2,"A vencer","No prazo"))))</f>
        <v/>
      </c>
      <c r="AA373" s="3">
        <f>IF(OR(Y373="",Q373="Concluído"),"",Y373-TODAY())</f>
        <v/>
      </c>
      <c r="AB373" s="5" t="n"/>
      <c r="AC373" s="5" t="n"/>
      <c r="AD373" s="4" t="n"/>
    </row>
    <row r="374">
      <c r="A374" s="3">
        <f>IF(C374="","",ROW()-1)</f>
        <v/>
      </c>
      <c r="B374" s="4" t="n"/>
      <c r="C374" s="4" t="n"/>
      <c r="D374" s="5" t="n"/>
      <c r="E374" s="5" t="n"/>
      <c r="F374" s="5" t="n"/>
      <c r="G374" s="5" t="n"/>
      <c r="H374" s="5" t="n"/>
      <c r="I374" s="5" t="n"/>
      <c r="J374" s="5" t="n"/>
      <c r="K374" s="6" t="n"/>
      <c r="L374" s="6" t="n"/>
      <c r="M374" s="6" t="n"/>
      <c r="N374" s="5" t="n"/>
      <c r="O374" s="21" t="n"/>
      <c r="P374" s="5" t="n"/>
      <c r="Q374" s="5" t="n"/>
      <c r="R374" s="6" t="n"/>
      <c r="S374" s="4" t="n"/>
      <c r="T374" s="4" t="n"/>
      <c r="U374" s="3">
        <f>IF(C374="","",IF(T374="",TODAY()-C374,T374-C374))</f>
        <v/>
      </c>
      <c r="V374" s="5" t="n"/>
      <c r="W374" s="6" t="n"/>
      <c r="X374" s="3">
        <f>IF(P374="","",IFERROR(VLOOKUP(P374,Parâmetros!$J$2:$K$5,2,FALSE),""))</f>
        <v/>
      </c>
      <c r="Y374" s="4">
        <f>IF(OR(C374="",X374=""),"",C374+X374)</f>
        <v/>
      </c>
      <c r="Z374" s="5">
        <f>IF(C374="","",IF(Q374="Concluído","Concluído",IF(Y374&lt;TODAY(),"Vencido",IF(Y374-TODAY()&lt;=2,"A vencer","No prazo"))))</f>
        <v/>
      </c>
      <c r="AA374" s="3">
        <f>IF(OR(Y374="",Q374="Concluído"),"",Y374-TODAY())</f>
        <v/>
      </c>
      <c r="AB374" s="5" t="n"/>
      <c r="AC374" s="5" t="n"/>
      <c r="AD374" s="4" t="n"/>
    </row>
    <row r="375">
      <c r="A375" s="3">
        <f>IF(C375="","",ROW()-1)</f>
        <v/>
      </c>
      <c r="B375" s="4" t="n"/>
      <c r="C375" s="4" t="n"/>
      <c r="D375" s="5" t="n"/>
      <c r="E375" s="5" t="n"/>
      <c r="F375" s="5" t="n"/>
      <c r="G375" s="5" t="n"/>
      <c r="H375" s="5" t="n"/>
      <c r="I375" s="5" t="n"/>
      <c r="J375" s="5" t="n"/>
      <c r="K375" s="6" t="n"/>
      <c r="L375" s="6" t="n"/>
      <c r="M375" s="6" t="n"/>
      <c r="N375" s="5" t="n"/>
      <c r="O375" s="21" t="n"/>
      <c r="P375" s="5" t="n"/>
      <c r="Q375" s="5" t="n"/>
      <c r="R375" s="6" t="n"/>
      <c r="S375" s="4" t="n"/>
      <c r="T375" s="4" t="n"/>
      <c r="U375" s="3">
        <f>IF(C375="","",IF(T375="",TODAY()-C375,T375-C375))</f>
        <v/>
      </c>
      <c r="V375" s="5" t="n"/>
      <c r="W375" s="6" t="n"/>
      <c r="X375" s="3">
        <f>IF(P375="","",IFERROR(VLOOKUP(P375,Parâmetros!$J$2:$K$5,2,FALSE),""))</f>
        <v/>
      </c>
      <c r="Y375" s="4">
        <f>IF(OR(C375="",X375=""),"",C375+X375)</f>
        <v/>
      </c>
      <c r="Z375" s="5">
        <f>IF(C375="","",IF(Q375="Concluído","Concluído",IF(Y375&lt;TODAY(),"Vencido",IF(Y375-TODAY()&lt;=2,"A vencer","No prazo"))))</f>
        <v/>
      </c>
      <c r="AA375" s="3">
        <f>IF(OR(Y375="",Q375="Concluído"),"",Y375-TODAY())</f>
        <v/>
      </c>
      <c r="AB375" s="5" t="n"/>
      <c r="AC375" s="5" t="n"/>
      <c r="AD375" s="4" t="n"/>
    </row>
    <row r="376">
      <c r="A376" s="3">
        <f>IF(C376="","",ROW()-1)</f>
        <v/>
      </c>
      <c r="B376" s="4" t="n"/>
      <c r="C376" s="4" t="n"/>
      <c r="D376" s="5" t="n"/>
      <c r="E376" s="5" t="n"/>
      <c r="F376" s="5" t="n"/>
      <c r="G376" s="5" t="n"/>
      <c r="H376" s="5" t="n"/>
      <c r="I376" s="5" t="n"/>
      <c r="J376" s="5" t="n"/>
      <c r="K376" s="6" t="n"/>
      <c r="L376" s="6" t="n"/>
      <c r="M376" s="6" t="n"/>
      <c r="N376" s="5" t="n"/>
      <c r="O376" s="21" t="n"/>
      <c r="P376" s="5" t="n"/>
      <c r="Q376" s="5" t="n"/>
      <c r="R376" s="6" t="n"/>
      <c r="S376" s="4" t="n"/>
      <c r="T376" s="4" t="n"/>
      <c r="U376" s="3">
        <f>IF(C376="","",IF(T376="",TODAY()-C376,T376-C376))</f>
        <v/>
      </c>
      <c r="V376" s="5" t="n"/>
      <c r="W376" s="6" t="n"/>
      <c r="X376" s="3">
        <f>IF(P376="","",IFERROR(VLOOKUP(P376,Parâmetros!$J$2:$K$5,2,FALSE),""))</f>
        <v/>
      </c>
      <c r="Y376" s="4">
        <f>IF(OR(C376="",X376=""),"",C376+X376)</f>
        <v/>
      </c>
      <c r="Z376" s="5">
        <f>IF(C376="","",IF(Q376="Concluído","Concluído",IF(Y376&lt;TODAY(),"Vencido",IF(Y376-TODAY()&lt;=2,"A vencer","No prazo"))))</f>
        <v/>
      </c>
      <c r="AA376" s="3">
        <f>IF(OR(Y376="",Q376="Concluído"),"",Y376-TODAY())</f>
        <v/>
      </c>
      <c r="AB376" s="5" t="n"/>
      <c r="AC376" s="5" t="n"/>
      <c r="AD376" s="4" t="n"/>
    </row>
    <row r="377">
      <c r="A377" s="3">
        <f>IF(C377="","",ROW()-1)</f>
        <v/>
      </c>
      <c r="B377" s="4" t="n"/>
      <c r="C377" s="4" t="n"/>
      <c r="D377" s="5" t="n"/>
      <c r="E377" s="5" t="n"/>
      <c r="F377" s="5" t="n"/>
      <c r="G377" s="5" t="n"/>
      <c r="H377" s="5" t="n"/>
      <c r="I377" s="5" t="n"/>
      <c r="J377" s="5" t="n"/>
      <c r="K377" s="6" t="n"/>
      <c r="L377" s="6" t="n"/>
      <c r="M377" s="6" t="n"/>
      <c r="N377" s="5" t="n"/>
      <c r="O377" s="21" t="n"/>
      <c r="P377" s="5" t="n"/>
      <c r="Q377" s="5" t="n"/>
      <c r="R377" s="6" t="n"/>
      <c r="S377" s="4" t="n"/>
      <c r="T377" s="4" t="n"/>
      <c r="U377" s="3">
        <f>IF(C377="","",IF(T377="",TODAY()-C377,T377-C377))</f>
        <v/>
      </c>
      <c r="V377" s="5" t="n"/>
      <c r="W377" s="6" t="n"/>
      <c r="X377" s="3">
        <f>IF(P377="","",IFERROR(VLOOKUP(P377,Parâmetros!$J$2:$K$5,2,FALSE),""))</f>
        <v/>
      </c>
      <c r="Y377" s="4">
        <f>IF(OR(C377="",X377=""),"",C377+X377)</f>
        <v/>
      </c>
      <c r="Z377" s="5">
        <f>IF(C377="","",IF(Q377="Concluído","Concluído",IF(Y377&lt;TODAY(),"Vencido",IF(Y377-TODAY()&lt;=2,"A vencer","No prazo"))))</f>
        <v/>
      </c>
      <c r="AA377" s="3">
        <f>IF(OR(Y377="",Q377="Concluído"),"",Y377-TODAY())</f>
        <v/>
      </c>
      <c r="AB377" s="5" t="n"/>
      <c r="AC377" s="5" t="n"/>
      <c r="AD377" s="4" t="n"/>
    </row>
    <row r="378">
      <c r="A378" s="3">
        <f>IF(C378="","",ROW()-1)</f>
        <v/>
      </c>
      <c r="B378" s="4" t="n"/>
      <c r="C378" s="4" t="n"/>
      <c r="D378" s="5" t="n"/>
      <c r="E378" s="5" t="n"/>
      <c r="F378" s="5" t="n"/>
      <c r="G378" s="5" t="n"/>
      <c r="H378" s="5" t="n"/>
      <c r="I378" s="5" t="n"/>
      <c r="J378" s="5" t="n"/>
      <c r="K378" s="6" t="n"/>
      <c r="L378" s="6" t="n"/>
      <c r="M378" s="6" t="n"/>
      <c r="N378" s="5" t="n"/>
      <c r="O378" s="21" t="n"/>
      <c r="P378" s="5" t="n"/>
      <c r="Q378" s="5" t="n"/>
      <c r="R378" s="6" t="n"/>
      <c r="S378" s="4" t="n"/>
      <c r="T378" s="4" t="n"/>
      <c r="U378" s="3">
        <f>IF(C378="","",IF(T378="",TODAY()-C378,T378-C378))</f>
        <v/>
      </c>
      <c r="V378" s="5" t="n"/>
      <c r="W378" s="6" t="n"/>
      <c r="X378" s="3">
        <f>IF(P378="","",IFERROR(VLOOKUP(P378,Parâmetros!$J$2:$K$5,2,FALSE),""))</f>
        <v/>
      </c>
      <c r="Y378" s="4">
        <f>IF(OR(C378="",X378=""),"",C378+X378)</f>
        <v/>
      </c>
      <c r="Z378" s="5">
        <f>IF(C378="","",IF(Q378="Concluído","Concluído",IF(Y378&lt;TODAY(),"Vencido",IF(Y378-TODAY()&lt;=2,"A vencer","No prazo"))))</f>
        <v/>
      </c>
      <c r="AA378" s="3">
        <f>IF(OR(Y378="",Q378="Concluído"),"",Y378-TODAY())</f>
        <v/>
      </c>
      <c r="AB378" s="5" t="n"/>
      <c r="AC378" s="5" t="n"/>
      <c r="AD378" s="4" t="n"/>
    </row>
    <row r="379">
      <c r="A379" s="3">
        <f>IF(C379="","",ROW()-1)</f>
        <v/>
      </c>
      <c r="B379" s="4" t="n"/>
      <c r="C379" s="4" t="n"/>
      <c r="D379" s="5" t="n"/>
      <c r="E379" s="5" t="n"/>
      <c r="F379" s="5" t="n"/>
      <c r="G379" s="5" t="n"/>
      <c r="H379" s="5" t="n"/>
      <c r="I379" s="5" t="n"/>
      <c r="J379" s="5" t="n"/>
      <c r="K379" s="6" t="n"/>
      <c r="L379" s="6" t="n"/>
      <c r="M379" s="6" t="n"/>
      <c r="N379" s="5" t="n"/>
      <c r="O379" s="21" t="n"/>
      <c r="P379" s="5" t="n"/>
      <c r="Q379" s="5" t="n"/>
      <c r="R379" s="6" t="n"/>
      <c r="S379" s="4" t="n"/>
      <c r="T379" s="4" t="n"/>
      <c r="U379" s="3">
        <f>IF(C379="","",IF(T379="",TODAY()-C379,T379-C379))</f>
        <v/>
      </c>
      <c r="V379" s="5" t="n"/>
      <c r="W379" s="6" t="n"/>
      <c r="X379" s="3">
        <f>IF(P379="","",IFERROR(VLOOKUP(P379,Parâmetros!$J$2:$K$5,2,FALSE),""))</f>
        <v/>
      </c>
      <c r="Y379" s="4">
        <f>IF(OR(C379="",X379=""),"",C379+X379)</f>
        <v/>
      </c>
      <c r="Z379" s="5">
        <f>IF(C379="","",IF(Q379="Concluído","Concluído",IF(Y379&lt;TODAY(),"Vencido",IF(Y379-TODAY()&lt;=2,"A vencer","No prazo"))))</f>
        <v/>
      </c>
      <c r="AA379" s="3">
        <f>IF(OR(Y379="",Q379="Concluído"),"",Y379-TODAY())</f>
        <v/>
      </c>
      <c r="AB379" s="5" t="n"/>
      <c r="AC379" s="5" t="n"/>
      <c r="AD379" s="4" t="n"/>
    </row>
    <row r="380">
      <c r="A380" s="3">
        <f>IF(C380="","",ROW()-1)</f>
        <v/>
      </c>
      <c r="B380" s="4" t="n"/>
      <c r="C380" s="4" t="n"/>
      <c r="D380" s="5" t="n"/>
      <c r="E380" s="5" t="n"/>
      <c r="F380" s="5" t="n"/>
      <c r="G380" s="5" t="n"/>
      <c r="H380" s="5" t="n"/>
      <c r="I380" s="5" t="n"/>
      <c r="J380" s="5" t="n"/>
      <c r="K380" s="6" t="n"/>
      <c r="L380" s="6" t="n"/>
      <c r="M380" s="6" t="n"/>
      <c r="N380" s="5" t="n"/>
      <c r="O380" s="21" t="n"/>
      <c r="P380" s="5" t="n"/>
      <c r="Q380" s="5" t="n"/>
      <c r="R380" s="6" t="n"/>
      <c r="S380" s="4" t="n"/>
      <c r="T380" s="4" t="n"/>
      <c r="U380" s="3">
        <f>IF(C380="","",IF(T380="",TODAY()-C380,T380-C380))</f>
        <v/>
      </c>
      <c r="V380" s="5" t="n"/>
      <c r="W380" s="6" t="n"/>
      <c r="X380" s="3">
        <f>IF(P380="","",IFERROR(VLOOKUP(P380,Parâmetros!$J$2:$K$5,2,FALSE),""))</f>
        <v/>
      </c>
      <c r="Y380" s="4">
        <f>IF(OR(C380="",X380=""),"",C380+X380)</f>
        <v/>
      </c>
      <c r="Z380" s="5">
        <f>IF(C380="","",IF(Q380="Concluído","Concluído",IF(Y380&lt;TODAY(),"Vencido",IF(Y380-TODAY()&lt;=2,"A vencer","No prazo"))))</f>
        <v/>
      </c>
      <c r="AA380" s="3">
        <f>IF(OR(Y380="",Q380="Concluído"),"",Y380-TODAY())</f>
        <v/>
      </c>
      <c r="AB380" s="5" t="n"/>
      <c r="AC380" s="5" t="n"/>
      <c r="AD380" s="4" t="n"/>
    </row>
    <row r="381">
      <c r="A381" s="3">
        <f>IF(C381="","",ROW()-1)</f>
        <v/>
      </c>
      <c r="B381" s="4" t="n"/>
      <c r="C381" s="4" t="n"/>
      <c r="D381" s="5" t="n"/>
      <c r="E381" s="5" t="n"/>
      <c r="F381" s="5" t="n"/>
      <c r="G381" s="5" t="n"/>
      <c r="H381" s="5" t="n"/>
      <c r="I381" s="5" t="n"/>
      <c r="J381" s="5" t="n"/>
      <c r="K381" s="6" t="n"/>
      <c r="L381" s="6" t="n"/>
      <c r="M381" s="6" t="n"/>
      <c r="N381" s="5" t="n"/>
      <c r="O381" s="21" t="n"/>
      <c r="P381" s="5" t="n"/>
      <c r="Q381" s="5" t="n"/>
      <c r="R381" s="6" t="n"/>
      <c r="S381" s="4" t="n"/>
      <c r="T381" s="4" t="n"/>
      <c r="U381" s="3">
        <f>IF(C381="","",IF(T381="",TODAY()-C381,T381-C381))</f>
        <v/>
      </c>
      <c r="V381" s="5" t="n"/>
      <c r="W381" s="6" t="n"/>
      <c r="X381" s="3">
        <f>IF(P381="","",IFERROR(VLOOKUP(P381,Parâmetros!$J$2:$K$5,2,FALSE),""))</f>
        <v/>
      </c>
      <c r="Y381" s="4">
        <f>IF(OR(C381="",X381=""),"",C381+X381)</f>
        <v/>
      </c>
      <c r="Z381" s="5">
        <f>IF(C381="","",IF(Q381="Concluído","Concluído",IF(Y381&lt;TODAY(),"Vencido",IF(Y381-TODAY()&lt;=2,"A vencer","No prazo"))))</f>
        <v/>
      </c>
      <c r="AA381" s="3">
        <f>IF(OR(Y381="",Q381="Concluído"),"",Y381-TODAY())</f>
        <v/>
      </c>
      <c r="AB381" s="5" t="n"/>
      <c r="AC381" s="5" t="n"/>
      <c r="AD381" s="4" t="n"/>
    </row>
    <row r="382">
      <c r="A382" s="3">
        <f>IF(C382="","",ROW()-1)</f>
        <v/>
      </c>
      <c r="B382" s="4" t="n"/>
      <c r="C382" s="4" t="n"/>
      <c r="D382" s="5" t="n"/>
      <c r="E382" s="5" t="n"/>
      <c r="F382" s="5" t="n"/>
      <c r="G382" s="5" t="n"/>
      <c r="H382" s="5" t="n"/>
      <c r="I382" s="5" t="n"/>
      <c r="J382" s="5" t="n"/>
      <c r="K382" s="6" t="n"/>
      <c r="L382" s="6" t="n"/>
      <c r="M382" s="6" t="n"/>
      <c r="N382" s="5" t="n"/>
      <c r="O382" s="21" t="n"/>
      <c r="P382" s="5" t="n"/>
      <c r="Q382" s="5" t="n"/>
      <c r="R382" s="6" t="n"/>
      <c r="S382" s="4" t="n"/>
      <c r="T382" s="4" t="n"/>
      <c r="U382" s="3">
        <f>IF(C382="","",IF(T382="",TODAY()-C382,T382-C382))</f>
        <v/>
      </c>
      <c r="V382" s="5" t="n"/>
      <c r="W382" s="6" t="n"/>
      <c r="X382" s="3">
        <f>IF(P382="","",IFERROR(VLOOKUP(P382,Parâmetros!$J$2:$K$5,2,FALSE),""))</f>
        <v/>
      </c>
      <c r="Y382" s="4">
        <f>IF(OR(C382="",X382=""),"",C382+X382)</f>
        <v/>
      </c>
      <c r="Z382" s="5">
        <f>IF(C382="","",IF(Q382="Concluído","Concluído",IF(Y382&lt;TODAY(),"Vencido",IF(Y382-TODAY()&lt;=2,"A vencer","No prazo"))))</f>
        <v/>
      </c>
      <c r="AA382" s="3">
        <f>IF(OR(Y382="",Q382="Concluído"),"",Y382-TODAY())</f>
        <v/>
      </c>
      <c r="AB382" s="5" t="n"/>
      <c r="AC382" s="5" t="n"/>
      <c r="AD382" s="4" t="n"/>
    </row>
    <row r="383">
      <c r="A383" s="3">
        <f>IF(C383="","",ROW()-1)</f>
        <v/>
      </c>
      <c r="B383" s="4" t="n"/>
      <c r="C383" s="4" t="n"/>
      <c r="D383" s="5" t="n"/>
      <c r="E383" s="5" t="n"/>
      <c r="F383" s="5" t="n"/>
      <c r="G383" s="5" t="n"/>
      <c r="H383" s="5" t="n"/>
      <c r="I383" s="5" t="n"/>
      <c r="J383" s="5" t="n"/>
      <c r="K383" s="6" t="n"/>
      <c r="L383" s="6" t="n"/>
      <c r="M383" s="6" t="n"/>
      <c r="N383" s="5" t="n"/>
      <c r="O383" s="21" t="n"/>
      <c r="P383" s="5" t="n"/>
      <c r="Q383" s="5" t="n"/>
      <c r="R383" s="6" t="n"/>
      <c r="S383" s="4" t="n"/>
      <c r="T383" s="4" t="n"/>
      <c r="U383" s="3">
        <f>IF(C383="","",IF(T383="",TODAY()-C383,T383-C383))</f>
        <v/>
      </c>
      <c r="V383" s="5" t="n"/>
      <c r="W383" s="6" t="n"/>
      <c r="X383" s="3">
        <f>IF(P383="","",IFERROR(VLOOKUP(P383,Parâmetros!$J$2:$K$5,2,FALSE),""))</f>
        <v/>
      </c>
      <c r="Y383" s="4">
        <f>IF(OR(C383="",X383=""),"",C383+X383)</f>
        <v/>
      </c>
      <c r="Z383" s="5">
        <f>IF(C383="","",IF(Q383="Concluído","Concluído",IF(Y383&lt;TODAY(),"Vencido",IF(Y383-TODAY()&lt;=2,"A vencer","No prazo"))))</f>
        <v/>
      </c>
      <c r="AA383" s="3">
        <f>IF(OR(Y383="",Q383="Concluído"),"",Y383-TODAY())</f>
        <v/>
      </c>
      <c r="AB383" s="5" t="n"/>
      <c r="AC383" s="5" t="n"/>
      <c r="AD383" s="4" t="n"/>
    </row>
    <row r="384">
      <c r="A384" s="3">
        <f>IF(C384="","",ROW()-1)</f>
        <v/>
      </c>
      <c r="B384" s="4" t="n"/>
      <c r="C384" s="4" t="n"/>
      <c r="D384" s="5" t="n"/>
      <c r="E384" s="5" t="n"/>
      <c r="F384" s="5" t="n"/>
      <c r="G384" s="5" t="n"/>
      <c r="H384" s="5" t="n"/>
      <c r="I384" s="5" t="n"/>
      <c r="J384" s="5" t="n"/>
      <c r="K384" s="6" t="n"/>
      <c r="L384" s="6" t="n"/>
      <c r="M384" s="6" t="n"/>
      <c r="N384" s="5" t="n"/>
      <c r="O384" s="21" t="n"/>
      <c r="P384" s="5" t="n"/>
      <c r="Q384" s="5" t="n"/>
      <c r="R384" s="6" t="n"/>
      <c r="S384" s="4" t="n"/>
      <c r="T384" s="4" t="n"/>
      <c r="U384" s="3">
        <f>IF(C384="","",IF(T384="",TODAY()-C384,T384-C384))</f>
        <v/>
      </c>
      <c r="V384" s="5" t="n"/>
      <c r="W384" s="6" t="n"/>
      <c r="X384" s="3">
        <f>IF(P384="","",IFERROR(VLOOKUP(P384,Parâmetros!$J$2:$K$5,2,FALSE),""))</f>
        <v/>
      </c>
      <c r="Y384" s="4">
        <f>IF(OR(C384="",X384=""),"",C384+X384)</f>
        <v/>
      </c>
      <c r="Z384" s="5">
        <f>IF(C384="","",IF(Q384="Concluído","Concluído",IF(Y384&lt;TODAY(),"Vencido",IF(Y384-TODAY()&lt;=2,"A vencer","No prazo"))))</f>
        <v/>
      </c>
      <c r="AA384" s="3">
        <f>IF(OR(Y384="",Q384="Concluído"),"",Y384-TODAY())</f>
        <v/>
      </c>
      <c r="AB384" s="5" t="n"/>
      <c r="AC384" s="5" t="n"/>
      <c r="AD384" s="4" t="n"/>
    </row>
    <row r="385">
      <c r="A385" s="3">
        <f>IF(C385="","",ROW()-1)</f>
        <v/>
      </c>
      <c r="B385" s="4" t="n"/>
      <c r="C385" s="4" t="n"/>
      <c r="D385" s="5" t="n"/>
      <c r="E385" s="5" t="n"/>
      <c r="F385" s="5" t="n"/>
      <c r="G385" s="5" t="n"/>
      <c r="H385" s="5" t="n"/>
      <c r="I385" s="5" t="n"/>
      <c r="J385" s="5" t="n"/>
      <c r="K385" s="6" t="n"/>
      <c r="L385" s="6" t="n"/>
      <c r="M385" s="6" t="n"/>
      <c r="N385" s="5" t="n"/>
      <c r="O385" s="21" t="n"/>
      <c r="P385" s="5" t="n"/>
      <c r="Q385" s="5" t="n"/>
      <c r="R385" s="6" t="n"/>
      <c r="S385" s="4" t="n"/>
      <c r="T385" s="4" t="n"/>
      <c r="U385" s="3">
        <f>IF(C385="","",IF(T385="",TODAY()-C385,T385-C385))</f>
        <v/>
      </c>
      <c r="V385" s="5" t="n"/>
      <c r="W385" s="6" t="n"/>
      <c r="X385" s="3">
        <f>IF(P385="","",IFERROR(VLOOKUP(P385,Parâmetros!$J$2:$K$5,2,FALSE),""))</f>
        <v/>
      </c>
      <c r="Y385" s="4">
        <f>IF(OR(C385="",X385=""),"",C385+X385)</f>
        <v/>
      </c>
      <c r="Z385" s="5">
        <f>IF(C385="","",IF(Q385="Concluído","Concluído",IF(Y385&lt;TODAY(),"Vencido",IF(Y385-TODAY()&lt;=2,"A vencer","No prazo"))))</f>
        <v/>
      </c>
      <c r="AA385" s="3">
        <f>IF(OR(Y385="",Q385="Concluído"),"",Y385-TODAY())</f>
        <v/>
      </c>
      <c r="AB385" s="5" t="n"/>
      <c r="AC385" s="5" t="n"/>
      <c r="AD385" s="4" t="n"/>
    </row>
    <row r="386">
      <c r="A386" s="3">
        <f>IF(C386="","",ROW()-1)</f>
        <v/>
      </c>
      <c r="B386" s="4" t="n"/>
      <c r="C386" s="4" t="n"/>
      <c r="D386" s="5" t="n"/>
      <c r="E386" s="5" t="n"/>
      <c r="F386" s="5" t="n"/>
      <c r="G386" s="5" t="n"/>
      <c r="H386" s="5" t="n"/>
      <c r="I386" s="5" t="n"/>
      <c r="J386" s="5" t="n"/>
      <c r="K386" s="6" t="n"/>
      <c r="L386" s="6" t="n"/>
      <c r="M386" s="6" t="n"/>
      <c r="N386" s="5" t="n"/>
      <c r="O386" s="21" t="n"/>
      <c r="P386" s="5" t="n"/>
      <c r="Q386" s="5" t="n"/>
      <c r="R386" s="6" t="n"/>
      <c r="S386" s="4" t="n"/>
      <c r="T386" s="4" t="n"/>
      <c r="U386" s="3">
        <f>IF(C386="","",IF(T386="",TODAY()-C386,T386-C386))</f>
        <v/>
      </c>
      <c r="V386" s="5" t="n"/>
      <c r="W386" s="6" t="n"/>
      <c r="X386" s="3">
        <f>IF(P386="","",IFERROR(VLOOKUP(P386,Parâmetros!$J$2:$K$5,2,FALSE),""))</f>
        <v/>
      </c>
      <c r="Y386" s="4">
        <f>IF(OR(C386="",X386=""),"",C386+X386)</f>
        <v/>
      </c>
      <c r="Z386" s="5">
        <f>IF(C386="","",IF(Q386="Concluído","Concluído",IF(Y386&lt;TODAY(),"Vencido",IF(Y386-TODAY()&lt;=2,"A vencer","No prazo"))))</f>
        <v/>
      </c>
      <c r="AA386" s="3">
        <f>IF(OR(Y386="",Q386="Concluído"),"",Y386-TODAY())</f>
        <v/>
      </c>
      <c r="AB386" s="5" t="n"/>
      <c r="AC386" s="5" t="n"/>
      <c r="AD386" s="4" t="n"/>
    </row>
    <row r="387">
      <c r="A387" s="3">
        <f>IF(C387="","",ROW()-1)</f>
        <v/>
      </c>
      <c r="B387" s="4" t="n"/>
      <c r="C387" s="4" t="n"/>
      <c r="D387" s="5" t="n"/>
      <c r="E387" s="5" t="n"/>
      <c r="F387" s="5" t="n"/>
      <c r="G387" s="5" t="n"/>
      <c r="H387" s="5" t="n"/>
      <c r="I387" s="5" t="n"/>
      <c r="J387" s="5" t="n"/>
      <c r="K387" s="6" t="n"/>
      <c r="L387" s="6" t="n"/>
      <c r="M387" s="6" t="n"/>
      <c r="N387" s="5" t="n"/>
      <c r="O387" s="21" t="n"/>
      <c r="P387" s="5" t="n"/>
      <c r="Q387" s="5" t="n"/>
      <c r="R387" s="6" t="n"/>
      <c r="S387" s="4" t="n"/>
      <c r="T387" s="4" t="n"/>
      <c r="U387" s="3">
        <f>IF(C387="","",IF(T387="",TODAY()-C387,T387-C387))</f>
        <v/>
      </c>
      <c r="V387" s="5" t="n"/>
      <c r="W387" s="6" t="n"/>
      <c r="X387" s="3">
        <f>IF(P387="","",IFERROR(VLOOKUP(P387,Parâmetros!$J$2:$K$5,2,FALSE),""))</f>
        <v/>
      </c>
      <c r="Y387" s="4">
        <f>IF(OR(C387="",X387=""),"",C387+X387)</f>
        <v/>
      </c>
      <c r="Z387" s="5">
        <f>IF(C387="","",IF(Q387="Concluído","Concluído",IF(Y387&lt;TODAY(),"Vencido",IF(Y387-TODAY()&lt;=2,"A vencer","No prazo"))))</f>
        <v/>
      </c>
      <c r="AA387" s="3">
        <f>IF(OR(Y387="",Q387="Concluído"),"",Y387-TODAY())</f>
        <v/>
      </c>
      <c r="AB387" s="5" t="n"/>
      <c r="AC387" s="5" t="n"/>
      <c r="AD387" s="4" t="n"/>
    </row>
    <row r="388">
      <c r="A388" s="3">
        <f>IF(C388="","",ROW()-1)</f>
        <v/>
      </c>
      <c r="B388" s="4" t="n"/>
      <c r="C388" s="4" t="n"/>
      <c r="D388" s="5" t="n"/>
      <c r="E388" s="5" t="n"/>
      <c r="F388" s="5" t="n"/>
      <c r="G388" s="5" t="n"/>
      <c r="H388" s="5" t="n"/>
      <c r="I388" s="5" t="n"/>
      <c r="J388" s="5" t="n"/>
      <c r="K388" s="6" t="n"/>
      <c r="L388" s="6" t="n"/>
      <c r="M388" s="6" t="n"/>
      <c r="N388" s="5" t="n"/>
      <c r="O388" s="21" t="n"/>
      <c r="P388" s="5" t="n"/>
      <c r="Q388" s="5" t="n"/>
      <c r="R388" s="6" t="n"/>
      <c r="S388" s="4" t="n"/>
      <c r="T388" s="4" t="n"/>
      <c r="U388" s="3">
        <f>IF(C388="","",IF(T388="",TODAY()-C388,T388-C388))</f>
        <v/>
      </c>
      <c r="V388" s="5" t="n"/>
      <c r="W388" s="6" t="n"/>
      <c r="X388" s="3">
        <f>IF(P388="","",IFERROR(VLOOKUP(P388,Parâmetros!$J$2:$K$5,2,FALSE),""))</f>
        <v/>
      </c>
      <c r="Y388" s="4">
        <f>IF(OR(C388="",X388=""),"",C388+X388)</f>
        <v/>
      </c>
      <c r="Z388" s="5">
        <f>IF(C388="","",IF(Q388="Concluído","Concluído",IF(Y388&lt;TODAY(),"Vencido",IF(Y388-TODAY()&lt;=2,"A vencer","No prazo"))))</f>
        <v/>
      </c>
      <c r="AA388" s="3">
        <f>IF(OR(Y388="",Q388="Concluído"),"",Y388-TODAY())</f>
        <v/>
      </c>
      <c r="AB388" s="5" t="n"/>
      <c r="AC388" s="5" t="n"/>
      <c r="AD388" s="4" t="n"/>
    </row>
    <row r="389">
      <c r="A389" s="3">
        <f>IF(C389="","",ROW()-1)</f>
        <v/>
      </c>
      <c r="B389" s="4" t="n"/>
      <c r="C389" s="4" t="n"/>
      <c r="D389" s="5" t="n"/>
      <c r="E389" s="5" t="n"/>
      <c r="F389" s="5" t="n"/>
      <c r="G389" s="5" t="n"/>
      <c r="H389" s="5" t="n"/>
      <c r="I389" s="5" t="n"/>
      <c r="J389" s="5" t="n"/>
      <c r="K389" s="6" t="n"/>
      <c r="L389" s="6" t="n"/>
      <c r="M389" s="6" t="n"/>
      <c r="N389" s="5" t="n"/>
      <c r="O389" s="21" t="n"/>
      <c r="P389" s="5" t="n"/>
      <c r="Q389" s="5" t="n"/>
      <c r="R389" s="6" t="n"/>
      <c r="S389" s="4" t="n"/>
      <c r="T389" s="4" t="n"/>
      <c r="U389" s="3">
        <f>IF(C389="","",IF(T389="",TODAY()-C389,T389-C389))</f>
        <v/>
      </c>
      <c r="V389" s="5" t="n"/>
      <c r="W389" s="6" t="n"/>
      <c r="X389" s="3">
        <f>IF(P389="","",IFERROR(VLOOKUP(P389,Parâmetros!$J$2:$K$5,2,FALSE),""))</f>
        <v/>
      </c>
      <c r="Y389" s="4">
        <f>IF(OR(C389="",X389=""),"",C389+X389)</f>
        <v/>
      </c>
      <c r="Z389" s="5">
        <f>IF(C389="","",IF(Q389="Concluído","Concluído",IF(Y389&lt;TODAY(),"Vencido",IF(Y389-TODAY()&lt;=2,"A vencer","No prazo"))))</f>
        <v/>
      </c>
      <c r="AA389" s="3">
        <f>IF(OR(Y389="",Q389="Concluído"),"",Y389-TODAY())</f>
        <v/>
      </c>
      <c r="AB389" s="5" t="n"/>
      <c r="AC389" s="5" t="n"/>
      <c r="AD389" s="4" t="n"/>
    </row>
    <row r="390">
      <c r="A390" s="3">
        <f>IF(C390="","",ROW()-1)</f>
        <v/>
      </c>
      <c r="B390" s="4" t="n"/>
      <c r="C390" s="4" t="n"/>
      <c r="D390" s="5" t="n"/>
      <c r="E390" s="5" t="n"/>
      <c r="F390" s="5" t="n"/>
      <c r="G390" s="5" t="n"/>
      <c r="H390" s="5" t="n"/>
      <c r="I390" s="5" t="n"/>
      <c r="J390" s="5" t="n"/>
      <c r="K390" s="6" t="n"/>
      <c r="L390" s="6" t="n"/>
      <c r="M390" s="6" t="n"/>
      <c r="N390" s="5" t="n"/>
      <c r="O390" s="21" t="n"/>
      <c r="P390" s="5" t="n"/>
      <c r="Q390" s="5" t="n"/>
      <c r="R390" s="6" t="n"/>
      <c r="S390" s="4" t="n"/>
      <c r="T390" s="4" t="n"/>
      <c r="U390" s="3">
        <f>IF(C390="","",IF(T390="",TODAY()-C390,T390-C390))</f>
        <v/>
      </c>
      <c r="V390" s="5" t="n"/>
      <c r="W390" s="6" t="n"/>
      <c r="X390" s="3">
        <f>IF(P390="","",IFERROR(VLOOKUP(P390,Parâmetros!$J$2:$K$5,2,FALSE),""))</f>
        <v/>
      </c>
      <c r="Y390" s="4">
        <f>IF(OR(C390="",X390=""),"",C390+X390)</f>
        <v/>
      </c>
      <c r="Z390" s="5">
        <f>IF(C390="","",IF(Q390="Concluído","Concluído",IF(Y390&lt;TODAY(),"Vencido",IF(Y390-TODAY()&lt;=2,"A vencer","No prazo"))))</f>
        <v/>
      </c>
      <c r="AA390" s="3">
        <f>IF(OR(Y390="",Q390="Concluído"),"",Y390-TODAY())</f>
        <v/>
      </c>
      <c r="AB390" s="5" t="n"/>
      <c r="AC390" s="5" t="n"/>
      <c r="AD390" s="4" t="n"/>
    </row>
    <row r="391">
      <c r="A391" s="3">
        <f>IF(C391="","",ROW()-1)</f>
        <v/>
      </c>
      <c r="B391" s="4" t="n"/>
      <c r="C391" s="4" t="n"/>
      <c r="D391" s="5" t="n"/>
      <c r="E391" s="5" t="n"/>
      <c r="F391" s="5" t="n"/>
      <c r="G391" s="5" t="n"/>
      <c r="H391" s="5" t="n"/>
      <c r="I391" s="5" t="n"/>
      <c r="J391" s="5" t="n"/>
      <c r="K391" s="6" t="n"/>
      <c r="L391" s="6" t="n"/>
      <c r="M391" s="6" t="n"/>
      <c r="N391" s="5" t="n"/>
      <c r="O391" s="21" t="n"/>
      <c r="P391" s="5" t="n"/>
      <c r="Q391" s="5" t="n"/>
      <c r="R391" s="6" t="n"/>
      <c r="S391" s="4" t="n"/>
      <c r="T391" s="4" t="n"/>
      <c r="U391" s="3">
        <f>IF(C391="","",IF(T391="",TODAY()-C391,T391-C391))</f>
        <v/>
      </c>
      <c r="V391" s="5" t="n"/>
      <c r="W391" s="6" t="n"/>
      <c r="X391" s="3">
        <f>IF(P391="","",IFERROR(VLOOKUP(P391,Parâmetros!$J$2:$K$5,2,FALSE),""))</f>
        <v/>
      </c>
      <c r="Y391" s="4">
        <f>IF(OR(C391="",X391=""),"",C391+X391)</f>
        <v/>
      </c>
      <c r="Z391" s="5">
        <f>IF(C391="","",IF(Q391="Concluído","Concluído",IF(Y391&lt;TODAY(),"Vencido",IF(Y391-TODAY()&lt;=2,"A vencer","No prazo"))))</f>
        <v/>
      </c>
      <c r="AA391" s="3">
        <f>IF(OR(Y391="",Q391="Concluído"),"",Y391-TODAY())</f>
        <v/>
      </c>
      <c r="AB391" s="5" t="n"/>
      <c r="AC391" s="5" t="n"/>
      <c r="AD391" s="4" t="n"/>
    </row>
    <row r="392">
      <c r="A392" s="3">
        <f>IF(C392="","",ROW()-1)</f>
        <v/>
      </c>
      <c r="B392" s="4" t="n"/>
      <c r="C392" s="4" t="n"/>
      <c r="D392" s="5" t="n"/>
      <c r="E392" s="5" t="n"/>
      <c r="F392" s="5" t="n"/>
      <c r="G392" s="5" t="n"/>
      <c r="H392" s="5" t="n"/>
      <c r="I392" s="5" t="n"/>
      <c r="J392" s="5" t="n"/>
      <c r="K392" s="6" t="n"/>
      <c r="L392" s="6" t="n"/>
      <c r="M392" s="6" t="n"/>
      <c r="N392" s="5" t="n"/>
      <c r="O392" s="21" t="n"/>
      <c r="P392" s="5" t="n"/>
      <c r="Q392" s="5" t="n"/>
      <c r="R392" s="6" t="n"/>
      <c r="S392" s="4" t="n"/>
      <c r="T392" s="4" t="n"/>
      <c r="U392" s="3">
        <f>IF(C392="","",IF(T392="",TODAY()-C392,T392-C392))</f>
        <v/>
      </c>
      <c r="V392" s="5" t="n"/>
      <c r="W392" s="6" t="n"/>
      <c r="X392" s="3">
        <f>IF(P392="","",IFERROR(VLOOKUP(P392,Parâmetros!$J$2:$K$5,2,FALSE),""))</f>
        <v/>
      </c>
      <c r="Y392" s="4">
        <f>IF(OR(C392="",X392=""),"",C392+X392)</f>
        <v/>
      </c>
      <c r="Z392" s="5">
        <f>IF(C392="","",IF(Q392="Concluído","Concluído",IF(Y392&lt;TODAY(),"Vencido",IF(Y392-TODAY()&lt;=2,"A vencer","No prazo"))))</f>
        <v/>
      </c>
      <c r="AA392" s="3">
        <f>IF(OR(Y392="",Q392="Concluído"),"",Y392-TODAY())</f>
        <v/>
      </c>
      <c r="AB392" s="5" t="n"/>
      <c r="AC392" s="5" t="n"/>
      <c r="AD392" s="4" t="n"/>
    </row>
    <row r="393">
      <c r="A393" s="3">
        <f>IF(C393="","",ROW()-1)</f>
        <v/>
      </c>
      <c r="B393" s="4" t="n"/>
      <c r="C393" s="4" t="n"/>
      <c r="D393" s="5" t="n"/>
      <c r="E393" s="5" t="n"/>
      <c r="F393" s="5" t="n"/>
      <c r="G393" s="5" t="n"/>
      <c r="H393" s="5" t="n"/>
      <c r="I393" s="5" t="n"/>
      <c r="J393" s="5" t="n"/>
      <c r="K393" s="6" t="n"/>
      <c r="L393" s="6" t="n"/>
      <c r="M393" s="6" t="n"/>
      <c r="N393" s="5" t="n"/>
      <c r="O393" s="21" t="n"/>
      <c r="P393" s="5" t="n"/>
      <c r="Q393" s="5" t="n"/>
      <c r="R393" s="6" t="n"/>
      <c r="S393" s="4" t="n"/>
      <c r="T393" s="4" t="n"/>
      <c r="U393" s="3">
        <f>IF(C393="","",IF(T393="",TODAY()-C393,T393-C393))</f>
        <v/>
      </c>
      <c r="V393" s="5" t="n"/>
      <c r="W393" s="6" t="n"/>
      <c r="X393" s="3">
        <f>IF(P393="","",IFERROR(VLOOKUP(P393,Parâmetros!$J$2:$K$5,2,FALSE),""))</f>
        <v/>
      </c>
      <c r="Y393" s="4">
        <f>IF(OR(C393="",X393=""),"",C393+X393)</f>
        <v/>
      </c>
      <c r="Z393" s="5">
        <f>IF(C393="","",IF(Q393="Concluído","Concluído",IF(Y393&lt;TODAY(),"Vencido",IF(Y393-TODAY()&lt;=2,"A vencer","No prazo"))))</f>
        <v/>
      </c>
      <c r="AA393" s="3">
        <f>IF(OR(Y393="",Q393="Concluído"),"",Y393-TODAY())</f>
        <v/>
      </c>
      <c r="AB393" s="5" t="n"/>
      <c r="AC393" s="5" t="n"/>
      <c r="AD393" s="4" t="n"/>
    </row>
    <row r="394">
      <c r="A394" s="3">
        <f>IF(C394="","",ROW()-1)</f>
        <v/>
      </c>
      <c r="B394" s="4" t="n"/>
      <c r="C394" s="4" t="n"/>
      <c r="D394" s="5" t="n"/>
      <c r="E394" s="5" t="n"/>
      <c r="F394" s="5" t="n"/>
      <c r="G394" s="5" t="n"/>
      <c r="H394" s="5" t="n"/>
      <c r="I394" s="5" t="n"/>
      <c r="J394" s="5" t="n"/>
      <c r="K394" s="6" t="n"/>
      <c r="L394" s="6" t="n"/>
      <c r="M394" s="6" t="n"/>
      <c r="N394" s="5" t="n"/>
      <c r="O394" s="21" t="n"/>
      <c r="P394" s="5" t="n"/>
      <c r="Q394" s="5" t="n"/>
      <c r="R394" s="6" t="n"/>
      <c r="S394" s="4" t="n"/>
      <c r="T394" s="4" t="n"/>
      <c r="U394" s="3">
        <f>IF(C394="","",IF(T394="",TODAY()-C394,T394-C394))</f>
        <v/>
      </c>
      <c r="V394" s="5" t="n"/>
      <c r="W394" s="6" t="n"/>
      <c r="X394" s="3">
        <f>IF(P394="","",IFERROR(VLOOKUP(P394,Parâmetros!$J$2:$K$5,2,FALSE),""))</f>
        <v/>
      </c>
      <c r="Y394" s="4">
        <f>IF(OR(C394="",X394=""),"",C394+X394)</f>
        <v/>
      </c>
      <c r="Z394" s="5">
        <f>IF(C394="","",IF(Q394="Concluído","Concluído",IF(Y394&lt;TODAY(),"Vencido",IF(Y394-TODAY()&lt;=2,"A vencer","No prazo"))))</f>
        <v/>
      </c>
      <c r="AA394" s="3">
        <f>IF(OR(Y394="",Q394="Concluído"),"",Y394-TODAY())</f>
        <v/>
      </c>
      <c r="AB394" s="5" t="n"/>
      <c r="AC394" s="5" t="n"/>
      <c r="AD394" s="4" t="n"/>
    </row>
    <row r="395">
      <c r="A395" s="3">
        <f>IF(C395="","",ROW()-1)</f>
        <v/>
      </c>
      <c r="B395" s="4" t="n"/>
      <c r="C395" s="4" t="n"/>
      <c r="D395" s="5" t="n"/>
      <c r="E395" s="5" t="n"/>
      <c r="F395" s="5" t="n"/>
      <c r="G395" s="5" t="n"/>
      <c r="H395" s="5" t="n"/>
      <c r="I395" s="5" t="n"/>
      <c r="J395" s="5" t="n"/>
      <c r="K395" s="6" t="n"/>
      <c r="L395" s="6" t="n"/>
      <c r="M395" s="6" t="n"/>
      <c r="N395" s="5" t="n"/>
      <c r="O395" s="21" t="n"/>
      <c r="P395" s="5" t="n"/>
      <c r="Q395" s="5" t="n"/>
      <c r="R395" s="6" t="n"/>
      <c r="S395" s="4" t="n"/>
      <c r="T395" s="4" t="n"/>
      <c r="U395" s="3">
        <f>IF(C395="","",IF(T395="",TODAY()-C395,T395-C395))</f>
        <v/>
      </c>
      <c r="V395" s="5" t="n"/>
      <c r="W395" s="6" t="n"/>
      <c r="X395" s="3">
        <f>IF(P395="","",IFERROR(VLOOKUP(P395,Parâmetros!$J$2:$K$5,2,FALSE),""))</f>
        <v/>
      </c>
      <c r="Y395" s="4">
        <f>IF(OR(C395="",X395=""),"",C395+X395)</f>
        <v/>
      </c>
      <c r="Z395" s="5">
        <f>IF(C395="","",IF(Q395="Concluído","Concluído",IF(Y395&lt;TODAY(),"Vencido",IF(Y395-TODAY()&lt;=2,"A vencer","No prazo"))))</f>
        <v/>
      </c>
      <c r="AA395" s="3">
        <f>IF(OR(Y395="",Q395="Concluído"),"",Y395-TODAY())</f>
        <v/>
      </c>
      <c r="AB395" s="5" t="n"/>
      <c r="AC395" s="5" t="n"/>
      <c r="AD395" s="4" t="n"/>
    </row>
    <row r="396">
      <c r="A396" s="3">
        <f>IF(C396="","",ROW()-1)</f>
        <v/>
      </c>
      <c r="B396" s="4" t="n"/>
      <c r="C396" s="4" t="n"/>
      <c r="D396" s="5" t="n"/>
      <c r="E396" s="5" t="n"/>
      <c r="F396" s="5" t="n"/>
      <c r="G396" s="5" t="n"/>
      <c r="H396" s="5" t="n"/>
      <c r="I396" s="5" t="n"/>
      <c r="J396" s="5" t="n"/>
      <c r="K396" s="6" t="n"/>
      <c r="L396" s="6" t="n"/>
      <c r="M396" s="6" t="n"/>
      <c r="N396" s="5" t="n"/>
      <c r="O396" s="21" t="n"/>
      <c r="P396" s="5" t="n"/>
      <c r="Q396" s="5" t="n"/>
      <c r="R396" s="6" t="n"/>
      <c r="S396" s="4" t="n"/>
      <c r="T396" s="4" t="n"/>
      <c r="U396" s="3">
        <f>IF(C396="","",IF(T396="",TODAY()-C396,T396-C396))</f>
        <v/>
      </c>
      <c r="V396" s="5" t="n"/>
      <c r="W396" s="6" t="n"/>
      <c r="X396" s="3">
        <f>IF(P396="","",IFERROR(VLOOKUP(P396,Parâmetros!$J$2:$K$5,2,FALSE),""))</f>
        <v/>
      </c>
      <c r="Y396" s="4">
        <f>IF(OR(C396="",X396=""),"",C396+X396)</f>
        <v/>
      </c>
      <c r="Z396" s="5">
        <f>IF(C396="","",IF(Q396="Concluído","Concluído",IF(Y396&lt;TODAY(),"Vencido",IF(Y396-TODAY()&lt;=2,"A vencer","No prazo"))))</f>
        <v/>
      </c>
      <c r="AA396" s="3">
        <f>IF(OR(Y396="",Q396="Concluído"),"",Y396-TODAY())</f>
        <v/>
      </c>
      <c r="AB396" s="5" t="n"/>
      <c r="AC396" s="5" t="n"/>
      <c r="AD396" s="4" t="n"/>
    </row>
    <row r="397">
      <c r="A397" s="3">
        <f>IF(C397="","",ROW()-1)</f>
        <v/>
      </c>
      <c r="B397" s="4" t="n"/>
      <c r="C397" s="4" t="n"/>
      <c r="D397" s="5" t="n"/>
      <c r="E397" s="5" t="n"/>
      <c r="F397" s="5" t="n"/>
      <c r="G397" s="5" t="n"/>
      <c r="H397" s="5" t="n"/>
      <c r="I397" s="5" t="n"/>
      <c r="J397" s="5" t="n"/>
      <c r="K397" s="6" t="n"/>
      <c r="L397" s="6" t="n"/>
      <c r="M397" s="6" t="n"/>
      <c r="N397" s="5" t="n"/>
      <c r="O397" s="21" t="n"/>
      <c r="P397" s="5" t="n"/>
      <c r="Q397" s="5" t="n"/>
      <c r="R397" s="6" t="n"/>
      <c r="S397" s="4" t="n"/>
      <c r="T397" s="4" t="n"/>
      <c r="U397" s="3">
        <f>IF(C397="","",IF(T397="",TODAY()-C397,T397-C397))</f>
        <v/>
      </c>
      <c r="V397" s="5" t="n"/>
      <c r="W397" s="6" t="n"/>
      <c r="X397" s="3">
        <f>IF(P397="","",IFERROR(VLOOKUP(P397,Parâmetros!$J$2:$K$5,2,FALSE),""))</f>
        <v/>
      </c>
      <c r="Y397" s="4">
        <f>IF(OR(C397="",X397=""),"",C397+X397)</f>
        <v/>
      </c>
      <c r="Z397" s="5">
        <f>IF(C397="","",IF(Q397="Concluído","Concluído",IF(Y397&lt;TODAY(),"Vencido",IF(Y397-TODAY()&lt;=2,"A vencer","No prazo"))))</f>
        <v/>
      </c>
      <c r="AA397" s="3">
        <f>IF(OR(Y397="",Q397="Concluído"),"",Y397-TODAY())</f>
        <v/>
      </c>
      <c r="AB397" s="5" t="n"/>
      <c r="AC397" s="5" t="n"/>
      <c r="AD397" s="4" t="n"/>
    </row>
    <row r="398">
      <c r="A398" s="3">
        <f>IF(C398="","",ROW()-1)</f>
        <v/>
      </c>
      <c r="B398" s="4" t="n"/>
      <c r="C398" s="4" t="n"/>
      <c r="D398" s="5" t="n"/>
      <c r="E398" s="5" t="n"/>
      <c r="F398" s="5" t="n"/>
      <c r="G398" s="5" t="n"/>
      <c r="H398" s="5" t="n"/>
      <c r="I398" s="5" t="n"/>
      <c r="J398" s="5" t="n"/>
      <c r="K398" s="6" t="n"/>
      <c r="L398" s="6" t="n"/>
      <c r="M398" s="6" t="n"/>
      <c r="N398" s="5" t="n"/>
      <c r="O398" s="21" t="n"/>
      <c r="P398" s="5" t="n"/>
      <c r="Q398" s="5" t="n"/>
      <c r="R398" s="6" t="n"/>
      <c r="S398" s="4" t="n"/>
      <c r="T398" s="4" t="n"/>
      <c r="U398" s="3">
        <f>IF(C398="","",IF(T398="",TODAY()-C398,T398-C398))</f>
        <v/>
      </c>
      <c r="V398" s="5" t="n"/>
      <c r="W398" s="6" t="n"/>
      <c r="X398" s="3">
        <f>IF(P398="","",IFERROR(VLOOKUP(P398,Parâmetros!$J$2:$K$5,2,FALSE),""))</f>
        <v/>
      </c>
      <c r="Y398" s="4">
        <f>IF(OR(C398="",X398=""),"",C398+X398)</f>
        <v/>
      </c>
      <c r="Z398" s="5">
        <f>IF(C398="","",IF(Q398="Concluído","Concluído",IF(Y398&lt;TODAY(),"Vencido",IF(Y398-TODAY()&lt;=2,"A vencer","No prazo"))))</f>
        <v/>
      </c>
      <c r="AA398" s="3">
        <f>IF(OR(Y398="",Q398="Concluído"),"",Y398-TODAY())</f>
        <v/>
      </c>
      <c r="AB398" s="5" t="n"/>
      <c r="AC398" s="5" t="n"/>
      <c r="AD398" s="4" t="n"/>
    </row>
    <row r="399">
      <c r="A399" s="3">
        <f>IF(C399="","",ROW()-1)</f>
        <v/>
      </c>
      <c r="B399" s="4" t="n"/>
      <c r="C399" s="4" t="n"/>
      <c r="D399" s="5" t="n"/>
      <c r="E399" s="5" t="n"/>
      <c r="F399" s="5" t="n"/>
      <c r="G399" s="5" t="n"/>
      <c r="H399" s="5" t="n"/>
      <c r="I399" s="5" t="n"/>
      <c r="J399" s="5" t="n"/>
      <c r="K399" s="6" t="n"/>
      <c r="L399" s="6" t="n"/>
      <c r="M399" s="6" t="n"/>
      <c r="N399" s="5" t="n"/>
      <c r="O399" s="21" t="n"/>
      <c r="P399" s="5" t="n"/>
      <c r="Q399" s="5" t="n"/>
      <c r="R399" s="6" t="n"/>
      <c r="S399" s="4" t="n"/>
      <c r="T399" s="4" t="n"/>
      <c r="U399" s="3">
        <f>IF(C399="","",IF(T399="",TODAY()-C399,T399-C399))</f>
        <v/>
      </c>
      <c r="V399" s="5" t="n"/>
      <c r="W399" s="6" t="n"/>
      <c r="X399" s="3">
        <f>IF(P399="","",IFERROR(VLOOKUP(P399,Parâmetros!$J$2:$K$5,2,FALSE),""))</f>
        <v/>
      </c>
      <c r="Y399" s="4">
        <f>IF(OR(C399="",X399=""),"",C399+X399)</f>
        <v/>
      </c>
      <c r="Z399" s="5">
        <f>IF(C399="","",IF(Q399="Concluído","Concluído",IF(Y399&lt;TODAY(),"Vencido",IF(Y399-TODAY()&lt;=2,"A vencer","No prazo"))))</f>
        <v/>
      </c>
      <c r="AA399" s="3">
        <f>IF(OR(Y399="",Q399="Concluído"),"",Y399-TODAY())</f>
        <v/>
      </c>
      <c r="AB399" s="5" t="n"/>
      <c r="AC399" s="5" t="n"/>
      <c r="AD399" s="4" t="n"/>
    </row>
    <row r="400">
      <c r="A400" s="3">
        <f>IF(C400="","",ROW()-1)</f>
        <v/>
      </c>
      <c r="B400" s="4" t="n"/>
      <c r="C400" s="4" t="n"/>
      <c r="D400" s="5" t="n"/>
      <c r="E400" s="5" t="n"/>
      <c r="F400" s="5" t="n"/>
      <c r="G400" s="5" t="n"/>
      <c r="H400" s="5" t="n"/>
      <c r="I400" s="5" t="n"/>
      <c r="J400" s="5" t="n"/>
      <c r="K400" s="6" t="n"/>
      <c r="L400" s="6" t="n"/>
      <c r="M400" s="6" t="n"/>
      <c r="N400" s="5" t="n"/>
      <c r="O400" s="21" t="n"/>
      <c r="P400" s="5" t="n"/>
      <c r="Q400" s="5" t="n"/>
      <c r="R400" s="6" t="n"/>
      <c r="S400" s="4" t="n"/>
      <c r="T400" s="4" t="n"/>
      <c r="U400" s="3">
        <f>IF(C400="","",IF(T400="",TODAY()-C400,T400-C400))</f>
        <v/>
      </c>
      <c r="V400" s="5" t="n"/>
      <c r="W400" s="6" t="n"/>
      <c r="X400" s="3">
        <f>IF(P400="","",IFERROR(VLOOKUP(P400,Parâmetros!$J$2:$K$5,2,FALSE),""))</f>
        <v/>
      </c>
      <c r="Y400" s="4">
        <f>IF(OR(C400="",X400=""),"",C400+X400)</f>
        <v/>
      </c>
      <c r="Z400" s="5">
        <f>IF(C400="","",IF(Q400="Concluído","Concluído",IF(Y400&lt;TODAY(),"Vencido",IF(Y400-TODAY()&lt;=2,"A vencer","No prazo"))))</f>
        <v/>
      </c>
      <c r="AA400" s="3">
        <f>IF(OR(Y400="",Q400="Concluído"),"",Y400-TODAY())</f>
        <v/>
      </c>
      <c r="AB400" s="5" t="n"/>
      <c r="AC400" s="5" t="n"/>
      <c r="AD400" s="4" t="n"/>
    </row>
    <row r="401">
      <c r="A401" s="3">
        <f>IF(C401="","",ROW()-1)</f>
        <v/>
      </c>
      <c r="B401" s="4" t="n"/>
      <c r="C401" s="4" t="n"/>
      <c r="D401" s="5" t="n"/>
      <c r="E401" s="5" t="n"/>
      <c r="F401" s="5" t="n"/>
      <c r="G401" s="5" t="n"/>
      <c r="H401" s="5" t="n"/>
      <c r="I401" s="5" t="n"/>
      <c r="J401" s="5" t="n"/>
      <c r="K401" s="6" t="n"/>
      <c r="L401" s="6" t="n"/>
      <c r="M401" s="6" t="n"/>
      <c r="N401" s="5" t="n"/>
      <c r="O401" s="21" t="n"/>
      <c r="P401" s="5" t="n"/>
      <c r="Q401" s="5" t="n"/>
      <c r="R401" s="6" t="n"/>
      <c r="S401" s="4" t="n"/>
      <c r="T401" s="4" t="n"/>
      <c r="U401" s="3">
        <f>IF(C401="","",IF(T401="",TODAY()-C401,T401-C401))</f>
        <v/>
      </c>
      <c r="V401" s="5" t="n"/>
      <c r="W401" s="6" t="n"/>
      <c r="X401" s="3">
        <f>IF(P401="","",IFERROR(VLOOKUP(P401,Parâmetros!$J$2:$K$5,2,FALSE),""))</f>
        <v/>
      </c>
      <c r="Y401" s="4">
        <f>IF(OR(C401="",X401=""),"",C401+X401)</f>
        <v/>
      </c>
      <c r="Z401" s="5">
        <f>IF(C401="","",IF(Q401="Concluído","Concluído",IF(Y401&lt;TODAY(),"Vencido",IF(Y401-TODAY()&lt;=2,"A vencer","No prazo"))))</f>
        <v/>
      </c>
      <c r="AA401" s="3">
        <f>IF(OR(Y401="",Q401="Concluído"),"",Y401-TODAY())</f>
        <v/>
      </c>
      <c r="AB401" s="5" t="n"/>
      <c r="AC401" s="5" t="n"/>
      <c r="AD401" s="4" t="n"/>
    </row>
    <row r="402">
      <c r="A402" s="3">
        <f>IF(C402="","",ROW()-1)</f>
        <v/>
      </c>
      <c r="B402" s="4" t="n"/>
      <c r="C402" s="4" t="n"/>
      <c r="D402" s="5" t="n"/>
      <c r="E402" s="5" t="n"/>
      <c r="F402" s="5" t="n"/>
      <c r="G402" s="5" t="n"/>
      <c r="H402" s="5" t="n"/>
      <c r="I402" s="5" t="n"/>
      <c r="J402" s="5" t="n"/>
      <c r="K402" s="6" t="n"/>
      <c r="L402" s="6" t="n"/>
      <c r="M402" s="6" t="n"/>
      <c r="N402" s="5" t="n"/>
      <c r="O402" s="21" t="n"/>
      <c r="P402" s="5" t="n"/>
      <c r="Q402" s="5" t="n"/>
      <c r="R402" s="6" t="n"/>
      <c r="S402" s="4" t="n"/>
      <c r="T402" s="4" t="n"/>
      <c r="U402" s="3">
        <f>IF(C402="","",IF(T402="",TODAY()-C402,T402-C402))</f>
        <v/>
      </c>
      <c r="V402" s="5" t="n"/>
      <c r="W402" s="6" t="n"/>
      <c r="X402" s="3">
        <f>IF(P402="","",IFERROR(VLOOKUP(P402,Parâmetros!$J$2:$K$5,2,FALSE),""))</f>
        <v/>
      </c>
      <c r="Y402" s="4">
        <f>IF(OR(C402="",X402=""),"",C402+X402)</f>
        <v/>
      </c>
      <c r="Z402" s="5">
        <f>IF(C402="","",IF(Q402="Concluído","Concluído",IF(Y402&lt;TODAY(),"Vencido",IF(Y402-TODAY()&lt;=2,"A vencer","No prazo"))))</f>
        <v/>
      </c>
      <c r="AA402" s="3">
        <f>IF(OR(Y402="",Q402="Concluído"),"",Y402-TODAY())</f>
        <v/>
      </c>
      <c r="AB402" s="5" t="n"/>
      <c r="AC402" s="5" t="n"/>
      <c r="AD402" s="4" t="n"/>
    </row>
    <row r="403">
      <c r="A403" s="3">
        <f>IF(C403="","",ROW()-1)</f>
        <v/>
      </c>
      <c r="B403" s="4" t="n"/>
      <c r="C403" s="4" t="n"/>
      <c r="D403" s="5" t="n"/>
      <c r="E403" s="5" t="n"/>
      <c r="F403" s="5" t="n"/>
      <c r="G403" s="5" t="n"/>
      <c r="H403" s="5" t="n"/>
      <c r="I403" s="5" t="n"/>
      <c r="J403" s="5" t="n"/>
      <c r="K403" s="6" t="n"/>
      <c r="L403" s="6" t="n"/>
      <c r="M403" s="6" t="n"/>
      <c r="N403" s="5" t="n"/>
      <c r="O403" s="21" t="n"/>
      <c r="P403" s="5" t="n"/>
      <c r="Q403" s="5" t="n"/>
      <c r="R403" s="6" t="n"/>
      <c r="S403" s="4" t="n"/>
      <c r="T403" s="4" t="n"/>
      <c r="U403" s="3">
        <f>IF(C403="","",IF(T403="",TODAY()-C403,T403-C403))</f>
        <v/>
      </c>
      <c r="V403" s="5" t="n"/>
      <c r="W403" s="6" t="n"/>
      <c r="X403" s="3">
        <f>IF(P403="","",IFERROR(VLOOKUP(P403,Parâmetros!$J$2:$K$5,2,FALSE),""))</f>
        <v/>
      </c>
      <c r="Y403" s="4">
        <f>IF(OR(C403="",X403=""),"",C403+X403)</f>
        <v/>
      </c>
      <c r="Z403" s="5">
        <f>IF(C403="","",IF(Q403="Concluído","Concluído",IF(Y403&lt;TODAY(),"Vencido",IF(Y403-TODAY()&lt;=2,"A vencer","No prazo"))))</f>
        <v/>
      </c>
      <c r="AA403" s="3">
        <f>IF(OR(Y403="",Q403="Concluído"),"",Y403-TODAY())</f>
        <v/>
      </c>
      <c r="AB403" s="5" t="n"/>
      <c r="AC403" s="5" t="n"/>
      <c r="AD403" s="4" t="n"/>
    </row>
    <row r="404">
      <c r="A404" s="3">
        <f>IF(C404="","",ROW()-1)</f>
        <v/>
      </c>
      <c r="B404" s="4" t="n"/>
      <c r="C404" s="4" t="n"/>
      <c r="D404" s="5" t="n"/>
      <c r="E404" s="5" t="n"/>
      <c r="F404" s="5" t="n"/>
      <c r="G404" s="5" t="n"/>
      <c r="H404" s="5" t="n"/>
      <c r="I404" s="5" t="n"/>
      <c r="J404" s="5" t="n"/>
      <c r="K404" s="6" t="n"/>
      <c r="L404" s="6" t="n"/>
      <c r="M404" s="6" t="n"/>
      <c r="N404" s="5" t="n"/>
      <c r="O404" s="21" t="n"/>
      <c r="P404" s="5" t="n"/>
      <c r="Q404" s="5" t="n"/>
      <c r="R404" s="6" t="n"/>
      <c r="S404" s="4" t="n"/>
      <c r="T404" s="4" t="n"/>
      <c r="U404" s="3">
        <f>IF(C404="","",IF(T404="",TODAY()-C404,T404-C404))</f>
        <v/>
      </c>
      <c r="V404" s="5" t="n"/>
      <c r="W404" s="6" t="n"/>
      <c r="X404" s="3">
        <f>IF(P404="","",IFERROR(VLOOKUP(P404,Parâmetros!$J$2:$K$5,2,FALSE),""))</f>
        <v/>
      </c>
      <c r="Y404" s="4">
        <f>IF(OR(C404="",X404=""),"",C404+X404)</f>
        <v/>
      </c>
      <c r="Z404" s="5">
        <f>IF(C404="","",IF(Q404="Concluído","Concluído",IF(Y404&lt;TODAY(),"Vencido",IF(Y404-TODAY()&lt;=2,"A vencer","No prazo"))))</f>
        <v/>
      </c>
      <c r="AA404" s="3">
        <f>IF(OR(Y404="",Q404="Concluído"),"",Y404-TODAY())</f>
        <v/>
      </c>
      <c r="AB404" s="5" t="n"/>
      <c r="AC404" s="5" t="n"/>
      <c r="AD404" s="4" t="n"/>
    </row>
    <row r="405">
      <c r="A405" s="3">
        <f>IF(C405="","",ROW()-1)</f>
        <v/>
      </c>
      <c r="B405" s="4" t="n"/>
      <c r="C405" s="4" t="n"/>
      <c r="D405" s="5" t="n"/>
      <c r="E405" s="5" t="n"/>
      <c r="F405" s="5" t="n"/>
      <c r="G405" s="5" t="n"/>
      <c r="H405" s="5" t="n"/>
      <c r="I405" s="5" t="n"/>
      <c r="J405" s="5" t="n"/>
      <c r="K405" s="6" t="n"/>
      <c r="L405" s="6" t="n"/>
      <c r="M405" s="6" t="n"/>
      <c r="N405" s="5" t="n"/>
      <c r="O405" s="21" t="n"/>
      <c r="P405" s="5" t="n"/>
      <c r="Q405" s="5" t="n"/>
      <c r="R405" s="6" t="n"/>
      <c r="S405" s="4" t="n"/>
      <c r="T405" s="4" t="n"/>
      <c r="U405" s="3">
        <f>IF(C405="","",IF(T405="",TODAY()-C405,T405-C405))</f>
        <v/>
      </c>
      <c r="V405" s="5" t="n"/>
      <c r="W405" s="6" t="n"/>
      <c r="X405" s="3">
        <f>IF(P405="","",IFERROR(VLOOKUP(P405,Parâmetros!$J$2:$K$5,2,FALSE),""))</f>
        <v/>
      </c>
      <c r="Y405" s="4">
        <f>IF(OR(C405="",X405=""),"",C405+X405)</f>
        <v/>
      </c>
      <c r="Z405" s="5">
        <f>IF(C405="","",IF(Q405="Concluído","Concluído",IF(Y405&lt;TODAY(),"Vencido",IF(Y405-TODAY()&lt;=2,"A vencer","No prazo"))))</f>
        <v/>
      </c>
      <c r="AA405" s="3">
        <f>IF(OR(Y405="",Q405="Concluído"),"",Y405-TODAY())</f>
        <v/>
      </c>
      <c r="AB405" s="5" t="n"/>
      <c r="AC405" s="5" t="n"/>
      <c r="AD405" s="4" t="n"/>
    </row>
    <row r="406">
      <c r="A406" s="3">
        <f>IF(C406="","",ROW()-1)</f>
        <v/>
      </c>
      <c r="B406" s="4" t="n"/>
      <c r="C406" s="4" t="n"/>
      <c r="D406" s="5" t="n"/>
      <c r="E406" s="5" t="n"/>
      <c r="F406" s="5" t="n"/>
      <c r="G406" s="5" t="n"/>
      <c r="H406" s="5" t="n"/>
      <c r="I406" s="5" t="n"/>
      <c r="J406" s="5" t="n"/>
      <c r="K406" s="6" t="n"/>
      <c r="L406" s="6" t="n"/>
      <c r="M406" s="6" t="n"/>
      <c r="N406" s="5" t="n"/>
      <c r="O406" s="21" t="n"/>
      <c r="P406" s="5" t="n"/>
      <c r="Q406" s="5" t="n"/>
      <c r="R406" s="6" t="n"/>
      <c r="S406" s="4" t="n"/>
      <c r="T406" s="4" t="n"/>
      <c r="U406" s="3">
        <f>IF(C406="","",IF(T406="",TODAY()-C406,T406-C406))</f>
        <v/>
      </c>
      <c r="V406" s="5" t="n"/>
      <c r="W406" s="6" t="n"/>
      <c r="X406" s="3">
        <f>IF(P406="","",IFERROR(VLOOKUP(P406,Parâmetros!$J$2:$K$5,2,FALSE),""))</f>
        <v/>
      </c>
      <c r="Y406" s="4">
        <f>IF(OR(C406="",X406=""),"",C406+X406)</f>
        <v/>
      </c>
      <c r="Z406" s="5">
        <f>IF(C406="","",IF(Q406="Concluído","Concluído",IF(Y406&lt;TODAY(),"Vencido",IF(Y406-TODAY()&lt;=2,"A vencer","No prazo"))))</f>
        <v/>
      </c>
      <c r="AA406" s="3">
        <f>IF(OR(Y406="",Q406="Concluído"),"",Y406-TODAY())</f>
        <v/>
      </c>
      <c r="AB406" s="5" t="n"/>
      <c r="AC406" s="5" t="n"/>
      <c r="AD406" s="4" t="n"/>
    </row>
    <row r="407">
      <c r="A407" s="3">
        <f>IF(C407="","",ROW()-1)</f>
        <v/>
      </c>
      <c r="B407" s="4" t="n"/>
      <c r="C407" s="4" t="n"/>
      <c r="D407" s="5" t="n"/>
      <c r="E407" s="5" t="n"/>
      <c r="F407" s="5" t="n"/>
      <c r="G407" s="5" t="n"/>
      <c r="H407" s="5" t="n"/>
      <c r="I407" s="5" t="n"/>
      <c r="J407" s="5" t="n"/>
      <c r="K407" s="6" t="n"/>
      <c r="L407" s="6" t="n"/>
      <c r="M407" s="6" t="n"/>
      <c r="N407" s="5" t="n"/>
      <c r="O407" s="21" t="n"/>
      <c r="P407" s="5" t="n"/>
      <c r="Q407" s="5" t="n"/>
      <c r="R407" s="6" t="n"/>
      <c r="S407" s="4" t="n"/>
      <c r="T407" s="4" t="n"/>
      <c r="U407" s="3">
        <f>IF(C407="","",IF(T407="",TODAY()-C407,T407-C407))</f>
        <v/>
      </c>
      <c r="V407" s="5" t="n"/>
      <c r="W407" s="6" t="n"/>
      <c r="X407" s="3">
        <f>IF(P407="","",IFERROR(VLOOKUP(P407,Parâmetros!$J$2:$K$5,2,FALSE),""))</f>
        <v/>
      </c>
      <c r="Y407" s="4">
        <f>IF(OR(C407="",X407=""),"",C407+X407)</f>
        <v/>
      </c>
      <c r="Z407" s="5">
        <f>IF(C407="","",IF(Q407="Concluído","Concluído",IF(Y407&lt;TODAY(),"Vencido",IF(Y407-TODAY()&lt;=2,"A vencer","No prazo"))))</f>
        <v/>
      </c>
      <c r="AA407" s="3">
        <f>IF(OR(Y407="",Q407="Concluído"),"",Y407-TODAY())</f>
        <v/>
      </c>
      <c r="AB407" s="5" t="n"/>
      <c r="AC407" s="5" t="n"/>
      <c r="AD407" s="4" t="n"/>
    </row>
    <row r="408">
      <c r="A408" s="3">
        <f>IF(C408="","",ROW()-1)</f>
        <v/>
      </c>
      <c r="B408" s="4" t="n"/>
      <c r="C408" s="4" t="n"/>
      <c r="D408" s="5" t="n"/>
      <c r="E408" s="5" t="n"/>
      <c r="F408" s="5" t="n"/>
      <c r="G408" s="5" t="n"/>
      <c r="H408" s="5" t="n"/>
      <c r="I408" s="5" t="n"/>
      <c r="J408" s="5" t="n"/>
      <c r="K408" s="6" t="n"/>
      <c r="L408" s="6" t="n"/>
      <c r="M408" s="6" t="n"/>
      <c r="N408" s="5" t="n"/>
      <c r="O408" s="21" t="n"/>
      <c r="P408" s="5" t="n"/>
      <c r="Q408" s="5" t="n"/>
      <c r="R408" s="6" t="n"/>
      <c r="S408" s="4" t="n"/>
      <c r="T408" s="4" t="n"/>
      <c r="U408" s="3">
        <f>IF(C408="","",IF(T408="",TODAY()-C408,T408-C408))</f>
        <v/>
      </c>
      <c r="V408" s="5" t="n"/>
      <c r="W408" s="6" t="n"/>
      <c r="X408" s="3">
        <f>IF(P408="","",IFERROR(VLOOKUP(P408,Parâmetros!$J$2:$K$5,2,FALSE),""))</f>
        <v/>
      </c>
      <c r="Y408" s="4">
        <f>IF(OR(C408="",X408=""),"",C408+X408)</f>
        <v/>
      </c>
      <c r="Z408" s="5">
        <f>IF(C408="","",IF(Q408="Concluído","Concluído",IF(Y408&lt;TODAY(),"Vencido",IF(Y408-TODAY()&lt;=2,"A vencer","No prazo"))))</f>
        <v/>
      </c>
      <c r="AA408" s="3">
        <f>IF(OR(Y408="",Q408="Concluído"),"",Y408-TODAY())</f>
        <v/>
      </c>
      <c r="AB408" s="5" t="n"/>
      <c r="AC408" s="5" t="n"/>
      <c r="AD408" s="4" t="n"/>
    </row>
    <row r="409">
      <c r="A409" s="3">
        <f>IF(C409="","",ROW()-1)</f>
        <v/>
      </c>
      <c r="B409" s="4" t="n"/>
      <c r="C409" s="4" t="n"/>
      <c r="D409" s="5" t="n"/>
      <c r="E409" s="5" t="n"/>
      <c r="F409" s="5" t="n"/>
      <c r="G409" s="5" t="n"/>
      <c r="H409" s="5" t="n"/>
      <c r="I409" s="5" t="n"/>
      <c r="J409" s="5" t="n"/>
      <c r="K409" s="6" t="n"/>
      <c r="L409" s="6" t="n"/>
      <c r="M409" s="6" t="n"/>
      <c r="N409" s="5" t="n"/>
      <c r="O409" s="21" t="n"/>
      <c r="P409" s="5" t="n"/>
      <c r="Q409" s="5" t="n"/>
      <c r="R409" s="6" t="n"/>
      <c r="S409" s="4" t="n"/>
      <c r="T409" s="4" t="n"/>
      <c r="U409" s="3">
        <f>IF(C409="","",IF(T409="",TODAY()-C409,T409-C409))</f>
        <v/>
      </c>
      <c r="V409" s="5" t="n"/>
      <c r="W409" s="6" t="n"/>
      <c r="X409" s="3">
        <f>IF(P409="","",IFERROR(VLOOKUP(P409,Parâmetros!$J$2:$K$5,2,FALSE),""))</f>
        <v/>
      </c>
      <c r="Y409" s="4">
        <f>IF(OR(C409="",X409=""),"",C409+X409)</f>
        <v/>
      </c>
      <c r="Z409" s="5">
        <f>IF(C409="","",IF(Q409="Concluído","Concluído",IF(Y409&lt;TODAY(),"Vencido",IF(Y409-TODAY()&lt;=2,"A vencer","No prazo"))))</f>
        <v/>
      </c>
      <c r="AA409" s="3">
        <f>IF(OR(Y409="",Q409="Concluído"),"",Y409-TODAY())</f>
        <v/>
      </c>
      <c r="AB409" s="5" t="n"/>
      <c r="AC409" s="5" t="n"/>
      <c r="AD409" s="4" t="n"/>
    </row>
    <row r="410">
      <c r="A410" s="3">
        <f>IF(C410="","",ROW()-1)</f>
        <v/>
      </c>
      <c r="B410" s="4" t="n"/>
      <c r="C410" s="4" t="n"/>
      <c r="D410" s="5" t="n"/>
      <c r="E410" s="5" t="n"/>
      <c r="F410" s="5" t="n"/>
      <c r="G410" s="5" t="n"/>
      <c r="H410" s="5" t="n"/>
      <c r="I410" s="5" t="n"/>
      <c r="J410" s="5" t="n"/>
      <c r="K410" s="6" t="n"/>
      <c r="L410" s="6" t="n"/>
      <c r="M410" s="6" t="n"/>
      <c r="N410" s="5" t="n"/>
      <c r="O410" s="21" t="n"/>
      <c r="P410" s="5" t="n"/>
      <c r="Q410" s="5" t="n"/>
      <c r="R410" s="6" t="n"/>
      <c r="S410" s="4" t="n"/>
      <c r="T410" s="4" t="n"/>
      <c r="U410" s="3">
        <f>IF(C410="","",IF(T410="",TODAY()-C410,T410-C410))</f>
        <v/>
      </c>
      <c r="V410" s="5" t="n"/>
      <c r="W410" s="6" t="n"/>
      <c r="X410" s="3">
        <f>IF(P410="","",IFERROR(VLOOKUP(P410,Parâmetros!$J$2:$K$5,2,FALSE),""))</f>
        <v/>
      </c>
      <c r="Y410" s="4">
        <f>IF(OR(C410="",X410=""),"",C410+X410)</f>
        <v/>
      </c>
      <c r="Z410" s="5">
        <f>IF(C410="","",IF(Q410="Concluído","Concluído",IF(Y410&lt;TODAY(),"Vencido",IF(Y410-TODAY()&lt;=2,"A vencer","No prazo"))))</f>
        <v/>
      </c>
      <c r="AA410" s="3">
        <f>IF(OR(Y410="",Q410="Concluído"),"",Y410-TODAY())</f>
        <v/>
      </c>
      <c r="AB410" s="5" t="n"/>
      <c r="AC410" s="5" t="n"/>
      <c r="AD410" s="4" t="n"/>
    </row>
    <row r="411">
      <c r="A411" s="3">
        <f>IF(C411="","",ROW()-1)</f>
        <v/>
      </c>
      <c r="B411" s="4" t="n"/>
      <c r="C411" s="4" t="n"/>
      <c r="D411" s="5" t="n"/>
      <c r="E411" s="5" t="n"/>
      <c r="F411" s="5" t="n"/>
      <c r="G411" s="5" t="n"/>
      <c r="H411" s="5" t="n"/>
      <c r="I411" s="5" t="n"/>
      <c r="J411" s="5" t="n"/>
      <c r="K411" s="6" t="n"/>
      <c r="L411" s="6" t="n"/>
      <c r="M411" s="6" t="n"/>
      <c r="N411" s="5" t="n"/>
      <c r="O411" s="21" t="n"/>
      <c r="P411" s="5" t="n"/>
      <c r="Q411" s="5" t="n"/>
      <c r="R411" s="6" t="n"/>
      <c r="S411" s="4" t="n"/>
      <c r="T411" s="4" t="n"/>
      <c r="U411" s="3">
        <f>IF(C411="","",IF(T411="",TODAY()-C411,T411-C411))</f>
        <v/>
      </c>
      <c r="V411" s="5" t="n"/>
      <c r="W411" s="6" t="n"/>
      <c r="X411" s="3">
        <f>IF(P411="","",IFERROR(VLOOKUP(P411,Parâmetros!$J$2:$K$5,2,FALSE),""))</f>
        <v/>
      </c>
      <c r="Y411" s="4">
        <f>IF(OR(C411="",X411=""),"",C411+X411)</f>
        <v/>
      </c>
      <c r="Z411" s="5">
        <f>IF(C411="","",IF(Q411="Concluído","Concluído",IF(Y411&lt;TODAY(),"Vencido",IF(Y411-TODAY()&lt;=2,"A vencer","No prazo"))))</f>
        <v/>
      </c>
      <c r="AA411" s="3">
        <f>IF(OR(Y411="",Q411="Concluído"),"",Y411-TODAY())</f>
        <v/>
      </c>
      <c r="AB411" s="5" t="n"/>
      <c r="AC411" s="5" t="n"/>
      <c r="AD411" s="4" t="n"/>
    </row>
    <row r="412">
      <c r="A412" s="3">
        <f>IF(C412="","",ROW()-1)</f>
        <v/>
      </c>
      <c r="B412" s="4" t="n"/>
      <c r="C412" s="4" t="n"/>
      <c r="D412" s="5" t="n"/>
      <c r="E412" s="5" t="n"/>
      <c r="F412" s="5" t="n"/>
      <c r="G412" s="5" t="n"/>
      <c r="H412" s="5" t="n"/>
      <c r="I412" s="5" t="n"/>
      <c r="J412" s="5" t="n"/>
      <c r="K412" s="6" t="n"/>
      <c r="L412" s="6" t="n"/>
      <c r="M412" s="6" t="n"/>
      <c r="N412" s="5" t="n"/>
      <c r="O412" s="21" t="n"/>
      <c r="P412" s="5" t="n"/>
      <c r="Q412" s="5" t="n"/>
      <c r="R412" s="6" t="n"/>
      <c r="S412" s="4" t="n"/>
      <c r="T412" s="4" t="n"/>
      <c r="U412" s="3">
        <f>IF(C412="","",IF(T412="",TODAY()-C412,T412-C412))</f>
        <v/>
      </c>
      <c r="V412" s="5" t="n"/>
      <c r="W412" s="6" t="n"/>
      <c r="X412" s="3">
        <f>IF(P412="","",IFERROR(VLOOKUP(P412,Parâmetros!$J$2:$K$5,2,FALSE),""))</f>
        <v/>
      </c>
      <c r="Y412" s="4">
        <f>IF(OR(C412="",X412=""),"",C412+X412)</f>
        <v/>
      </c>
      <c r="Z412" s="5">
        <f>IF(C412="","",IF(Q412="Concluído","Concluído",IF(Y412&lt;TODAY(),"Vencido",IF(Y412-TODAY()&lt;=2,"A vencer","No prazo"))))</f>
        <v/>
      </c>
      <c r="AA412" s="3">
        <f>IF(OR(Y412="",Q412="Concluído"),"",Y412-TODAY())</f>
        <v/>
      </c>
      <c r="AB412" s="5" t="n"/>
      <c r="AC412" s="5" t="n"/>
      <c r="AD412" s="4" t="n"/>
    </row>
    <row r="413">
      <c r="A413" s="3">
        <f>IF(C413="","",ROW()-1)</f>
        <v/>
      </c>
      <c r="B413" s="4" t="n"/>
      <c r="C413" s="4" t="n"/>
      <c r="D413" s="5" t="n"/>
      <c r="E413" s="5" t="n"/>
      <c r="F413" s="5" t="n"/>
      <c r="G413" s="5" t="n"/>
      <c r="H413" s="5" t="n"/>
      <c r="I413" s="5" t="n"/>
      <c r="J413" s="5" t="n"/>
      <c r="K413" s="6" t="n"/>
      <c r="L413" s="6" t="n"/>
      <c r="M413" s="6" t="n"/>
      <c r="N413" s="5" t="n"/>
      <c r="O413" s="21" t="n"/>
      <c r="P413" s="5" t="n"/>
      <c r="Q413" s="5" t="n"/>
      <c r="R413" s="6" t="n"/>
      <c r="S413" s="4" t="n"/>
      <c r="T413" s="4" t="n"/>
      <c r="U413" s="3">
        <f>IF(C413="","",IF(T413="",TODAY()-C413,T413-C413))</f>
        <v/>
      </c>
      <c r="V413" s="5" t="n"/>
      <c r="W413" s="6" t="n"/>
      <c r="X413" s="3">
        <f>IF(P413="","",IFERROR(VLOOKUP(P413,Parâmetros!$J$2:$K$5,2,FALSE),""))</f>
        <v/>
      </c>
      <c r="Y413" s="4">
        <f>IF(OR(C413="",X413=""),"",C413+X413)</f>
        <v/>
      </c>
      <c r="Z413" s="5">
        <f>IF(C413="","",IF(Q413="Concluído","Concluído",IF(Y413&lt;TODAY(),"Vencido",IF(Y413-TODAY()&lt;=2,"A vencer","No prazo"))))</f>
        <v/>
      </c>
      <c r="AA413" s="3">
        <f>IF(OR(Y413="",Q413="Concluído"),"",Y413-TODAY())</f>
        <v/>
      </c>
      <c r="AB413" s="5" t="n"/>
      <c r="AC413" s="5" t="n"/>
      <c r="AD413" s="4" t="n"/>
    </row>
    <row r="414">
      <c r="A414" s="3">
        <f>IF(C414="","",ROW()-1)</f>
        <v/>
      </c>
      <c r="B414" s="4" t="n"/>
      <c r="C414" s="4" t="n"/>
      <c r="D414" s="5" t="n"/>
      <c r="E414" s="5" t="n"/>
      <c r="F414" s="5" t="n"/>
      <c r="G414" s="5" t="n"/>
      <c r="H414" s="5" t="n"/>
      <c r="I414" s="5" t="n"/>
      <c r="J414" s="5" t="n"/>
      <c r="K414" s="6" t="n"/>
      <c r="L414" s="6" t="n"/>
      <c r="M414" s="6" t="n"/>
      <c r="N414" s="5" t="n"/>
      <c r="O414" s="21" t="n"/>
      <c r="P414" s="5" t="n"/>
      <c r="Q414" s="5" t="n"/>
      <c r="R414" s="6" t="n"/>
      <c r="S414" s="4" t="n"/>
      <c r="T414" s="4" t="n"/>
      <c r="U414" s="3">
        <f>IF(C414="","",IF(T414="",TODAY()-C414,T414-C414))</f>
        <v/>
      </c>
      <c r="V414" s="5" t="n"/>
      <c r="W414" s="6" t="n"/>
      <c r="X414" s="3">
        <f>IF(P414="","",IFERROR(VLOOKUP(P414,Parâmetros!$J$2:$K$5,2,FALSE),""))</f>
        <v/>
      </c>
      <c r="Y414" s="4">
        <f>IF(OR(C414="",X414=""),"",C414+X414)</f>
        <v/>
      </c>
      <c r="Z414" s="5">
        <f>IF(C414="","",IF(Q414="Concluído","Concluído",IF(Y414&lt;TODAY(),"Vencido",IF(Y414-TODAY()&lt;=2,"A vencer","No prazo"))))</f>
        <v/>
      </c>
      <c r="AA414" s="3">
        <f>IF(OR(Y414="",Q414="Concluído"),"",Y414-TODAY())</f>
        <v/>
      </c>
      <c r="AB414" s="5" t="n"/>
      <c r="AC414" s="5" t="n"/>
      <c r="AD414" s="4" t="n"/>
    </row>
    <row r="415">
      <c r="A415" s="3">
        <f>IF(C415="","",ROW()-1)</f>
        <v/>
      </c>
      <c r="B415" s="4" t="n"/>
      <c r="C415" s="4" t="n"/>
      <c r="D415" s="5" t="n"/>
      <c r="E415" s="5" t="n"/>
      <c r="F415" s="5" t="n"/>
      <c r="G415" s="5" t="n"/>
      <c r="H415" s="5" t="n"/>
      <c r="I415" s="5" t="n"/>
      <c r="J415" s="5" t="n"/>
      <c r="K415" s="6" t="n"/>
      <c r="L415" s="6" t="n"/>
      <c r="M415" s="6" t="n"/>
      <c r="N415" s="5" t="n"/>
      <c r="O415" s="21" t="n"/>
      <c r="P415" s="5" t="n"/>
      <c r="Q415" s="5" t="n"/>
      <c r="R415" s="6" t="n"/>
      <c r="S415" s="4" t="n"/>
      <c r="T415" s="4" t="n"/>
      <c r="U415" s="3">
        <f>IF(C415="","",IF(T415="",TODAY()-C415,T415-C415))</f>
        <v/>
      </c>
      <c r="V415" s="5" t="n"/>
      <c r="W415" s="6" t="n"/>
      <c r="X415" s="3">
        <f>IF(P415="","",IFERROR(VLOOKUP(P415,Parâmetros!$J$2:$K$5,2,FALSE),""))</f>
        <v/>
      </c>
      <c r="Y415" s="4">
        <f>IF(OR(C415="",X415=""),"",C415+X415)</f>
        <v/>
      </c>
      <c r="Z415" s="5">
        <f>IF(C415="","",IF(Q415="Concluído","Concluído",IF(Y415&lt;TODAY(),"Vencido",IF(Y415-TODAY()&lt;=2,"A vencer","No prazo"))))</f>
        <v/>
      </c>
      <c r="AA415" s="3">
        <f>IF(OR(Y415="",Q415="Concluído"),"",Y415-TODAY())</f>
        <v/>
      </c>
      <c r="AB415" s="5" t="n"/>
      <c r="AC415" s="5" t="n"/>
      <c r="AD415" s="4" t="n"/>
    </row>
    <row r="416">
      <c r="A416" s="3">
        <f>IF(C416="","",ROW()-1)</f>
        <v/>
      </c>
      <c r="B416" s="4" t="n"/>
      <c r="C416" s="4" t="n"/>
      <c r="D416" s="5" t="n"/>
      <c r="E416" s="5" t="n"/>
      <c r="F416" s="5" t="n"/>
      <c r="G416" s="5" t="n"/>
      <c r="H416" s="5" t="n"/>
      <c r="I416" s="5" t="n"/>
      <c r="J416" s="5" t="n"/>
      <c r="K416" s="6" t="n"/>
      <c r="L416" s="6" t="n"/>
      <c r="M416" s="6" t="n"/>
      <c r="N416" s="5" t="n"/>
      <c r="O416" s="21" t="n"/>
      <c r="P416" s="5" t="n"/>
      <c r="Q416" s="5" t="n"/>
      <c r="R416" s="6" t="n"/>
      <c r="S416" s="4" t="n"/>
      <c r="T416" s="4" t="n"/>
      <c r="U416" s="3">
        <f>IF(C416="","",IF(T416="",TODAY()-C416,T416-C416))</f>
        <v/>
      </c>
      <c r="V416" s="5" t="n"/>
      <c r="W416" s="6" t="n"/>
      <c r="X416" s="3">
        <f>IF(P416="","",IFERROR(VLOOKUP(P416,Parâmetros!$J$2:$K$5,2,FALSE),""))</f>
        <v/>
      </c>
      <c r="Y416" s="4">
        <f>IF(OR(C416="",X416=""),"",C416+X416)</f>
        <v/>
      </c>
      <c r="Z416" s="5">
        <f>IF(C416="","",IF(Q416="Concluído","Concluído",IF(Y416&lt;TODAY(),"Vencido",IF(Y416-TODAY()&lt;=2,"A vencer","No prazo"))))</f>
        <v/>
      </c>
      <c r="AA416" s="3">
        <f>IF(OR(Y416="",Q416="Concluído"),"",Y416-TODAY())</f>
        <v/>
      </c>
      <c r="AB416" s="5" t="n"/>
      <c r="AC416" s="5" t="n"/>
      <c r="AD416" s="4" t="n"/>
    </row>
    <row r="417">
      <c r="A417" s="3">
        <f>IF(C417="","",ROW()-1)</f>
        <v/>
      </c>
      <c r="B417" s="4" t="n"/>
      <c r="C417" s="4" t="n"/>
      <c r="D417" s="5" t="n"/>
      <c r="E417" s="5" t="n"/>
      <c r="F417" s="5" t="n"/>
      <c r="G417" s="5" t="n"/>
      <c r="H417" s="5" t="n"/>
      <c r="I417" s="5" t="n"/>
      <c r="J417" s="5" t="n"/>
      <c r="K417" s="6" t="n"/>
      <c r="L417" s="6" t="n"/>
      <c r="M417" s="6" t="n"/>
      <c r="N417" s="5" t="n"/>
      <c r="O417" s="21" t="n"/>
      <c r="P417" s="5" t="n"/>
      <c r="Q417" s="5" t="n"/>
      <c r="R417" s="6" t="n"/>
      <c r="S417" s="4" t="n"/>
      <c r="T417" s="4" t="n"/>
      <c r="U417" s="3">
        <f>IF(C417="","",IF(T417="",TODAY()-C417,T417-C417))</f>
        <v/>
      </c>
      <c r="V417" s="5" t="n"/>
      <c r="W417" s="6" t="n"/>
      <c r="X417" s="3">
        <f>IF(P417="","",IFERROR(VLOOKUP(P417,Parâmetros!$J$2:$K$5,2,FALSE),""))</f>
        <v/>
      </c>
      <c r="Y417" s="4">
        <f>IF(OR(C417="",X417=""),"",C417+X417)</f>
        <v/>
      </c>
      <c r="Z417" s="5">
        <f>IF(C417="","",IF(Q417="Concluído","Concluído",IF(Y417&lt;TODAY(),"Vencido",IF(Y417-TODAY()&lt;=2,"A vencer","No prazo"))))</f>
        <v/>
      </c>
      <c r="AA417" s="3">
        <f>IF(OR(Y417="",Q417="Concluído"),"",Y417-TODAY())</f>
        <v/>
      </c>
      <c r="AB417" s="5" t="n"/>
      <c r="AC417" s="5" t="n"/>
      <c r="AD417" s="4" t="n"/>
    </row>
    <row r="418">
      <c r="A418" s="3">
        <f>IF(C418="","",ROW()-1)</f>
        <v/>
      </c>
      <c r="B418" s="4" t="n"/>
      <c r="C418" s="4" t="n"/>
      <c r="D418" s="5" t="n"/>
      <c r="E418" s="5" t="n"/>
      <c r="F418" s="5" t="n"/>
      <c r="G418" s="5" t="n"/>
      <c r="H418" s="5" t="n"/>
      <c r="I418" s="5" t="n"/>
      <c r="J418" s="5" t="n"/>
      <c r="K418" s="6" t="n"/>
      <c r="L418" s="6" t="n"/>
      <c r="M418" s="6" t="n"/>
      <c r="N418" s="5" t="n"/>
      <c r="O418" s="21" t="n"/>
      <c r="P418" s="5" t="n"/>
      <c r="Q418" s="5" t="n"/>
      <c r="R418" s="6" t="n"/>
      <c r="S418" s="4" t="n"/>
      <c r="T418" s="4" t="n"/>
      <c r="U418" s="3">
        <f>IF(C418="","",IF(T418="",TODAY()-C418,T418-C418))</f>
        <v/>
      </c>
      <c r="V418" s="5" t="n"/>
      <c r="W418" s="6" t="n"/>
      <c r="X418" s="3">
        <f>IF(P418="","",IFERROR(VLOOKUP(P418,Parâmetros!$J$2:$K$5,2,FALSE),""))</f>
        <v/>
      </c>
      <c r="Y418" s="4">
        <f>IF(OR(C418="",X418=""),"",C418+X418)</f>
        <v/>
      </c>
      <c r="Z418" s="5">
        <f>IF(C418="","",IF(Q418="Concluído","Concluído",IF(Y418&lt;TODAY(),"Vencido",IF(Y418-TODAY()&lt;=2,"A vencer","No prazo"))))</f>
        <v/>
      </c>
      <c r="AA418" s="3">
        <f>IF(OR(Y418="",Q418="Concluído"),"",Y418-TODAY())</f>
        <v/>
      </c>
      <c r="AB418" s="5" t="n"/>
      <c r="AC418" s="5" t="n"/>
      <c r="AD418" s="4" t="n"/>
    </row>
    <row r="419">
      <c r="A419" s="3">
        <f>IF(C419="","",ROW()-1)</f>
        <v/>
      </c>
      <c r="B419" s="4" t="n"/>
      <c r="C419" s="4" t="n"/>
      <c r="D419" s="5" t="n"/>
      <c r="E419" s="5" t="n"/>
      <c r="F419" s="5" t="n"/>
      <c r="G419" s="5" t="n"/>
      <c r="H419" s="5" t="n"/>
      <c r="I419" s="5" t="n"/>
      <c r="J419" s="5" t="n"/>
      <c r="K419" s="6" t="n"/>
      <c r="L419" s="6" t="n"/>
      <c r="M419" s="6" t="n"/>
      <c r="N419" s="5" t="n"/>
      <c r="O419" s="21" t="n"/>
      <c r="P419" s="5" t="n"/>
      <c r="Q419" s="5" t="n"/>
      <c r="R419" s="6" t="n"/>
      <c r="S419" s="4" t="n"/>
      <c r="T419" s="4" t="n"/>
      <c r="U419" s="3">
        <f>IF(C419="","",IF(T419="",TODAY()-C419,T419-C419))</f>
        <v/>
      </c>
      <c r="V419" s="5" t="n"/>
      <c r="W419" s="6" t="n"/>
      <c r="X419" s="3">
        <f>IF(P419="","",IFERROR(VLOOKUP(P419,Parâmetros!$J$2:$K$5,2,FALSE),""))</f>
        <v/>
      </c>
      <c r="Y419" s="4">
        <f>IF(OR(C419="",X419=""),"",C419+X419)</f>
        <v/>
      </c>
      <c r="Z419" s="5">
        <f>IF(C419="","",IF(Q419="Concluído","Concluído",IF(Y419&lt;TODAY(),"Vencido",IF(Y419-TODAY()&lt;=2,"A vencer","No prazo"))))</f>
        <v/>
      </c>
      <c r="AA419" s="3">
        <f>IF(OR(Y419="",Q419="Concluído"),"",Y419-TODAY())</f>
        <v/>
      </c>
      <c r="AB419" s="5" t="n"/>
      <c r="AC419" s="5" t="n"/>
      <c r="AD419" s="4" t="n"/>
    </row>
    <row r="420">
      <c r="A420" s="3">
        <f>IF(C420="","",ROW()-1)</f>
        <v/>
      </c>
      <c r="B420" s="4" t="n"/>
      <c r="C420" s="4" t="n"/>
      <c r="D420" s="5" t="n"/>
      <c r="E420" s="5" t="n"/>
      <c r="F420" s="5" t="n"/>
      <c r="G420" s="5" t="n"/>
      <c r="H420" s="5" t="n"/>
      <c r="I420" s="5" t="n"/>
      <c r="J420" s="5" t="n"/>
      <c r="K420" s="6" t="n"/>
      <c r="L420" s="6" t="n"/>
      <c r="M420" s="6" t="n"/>
      <c r="N420" s="5" t="n"/>
      <c r="O420" s="21" t="n"/>
      <c r="P420" s="5" t="n"/>
      <c r="Q420" s="5" t="n"/>
      <c r="R420" s="6" t="n"/>
      <c r="S420" s="4" t="n"/>
      <c r="T420" s="4" t="n"/>
      <c r="U420" s="3">
        <f>IF(C420="","",IF(T420="",TODAY()-C420,T420-C420))</f>
        <v/>
      </c>
      <c r="V420" s="5" t="n"/>
      <c r="W420" s="6" t="n"/>
      <c r="X420" s="3">
        <f>IF(P420="","",IFERROR(VLOOKUP(P420,Parâmetros!$J$2:$K$5,2,FALSE),""))</f>
        <v/>
      </c>
      <c r="Y420" s="4">
        <f>IF(OR(C420="",X420=""),"",C420+X420)</f>
        <v/>
      </c>
      <c r="Z420" s="5">
        <f>IF(C420="","",IF(Q420="Concluído","Concluído",IF(Y420&lt;TODAY(),"Vencido",IF(Y420-TODAY()&lt;=2,"A vencer","No prazo"))))</f>
        <v/>
      </c>
      <c r="AA420" s="3">
        <f>IF(OR(Y420="",Q420="Concluído"),"",Y420-TODAY())</f>
        <v/>
      </c>
      <c r="AB420" s="5" t="n"/>
      <c r="AC420" s="5" t="n"/>
      <c r="AD420" s="4" t="n"/>
    </row>
    <row r="421">
      <c r="A421" s="3">
        <f>IF(C421="","",ROW()-1)</f>
        <v/>
      </c>
      <c r="B421" s="4" t="n"/>
      <c r="C421" s="4" t="n"/>
      <c r="D421" s="5" t="n"/>
      <c r="E421" s="5" t="n"/>
      <c r="F421" s="5" t="n"/>
      <c r="G421" s="5" t="n"/>
      <c r="H421" s="5" t="n"/>
      <c r="I421" s="5" t="n"/>
      <c r="J421" s="5" t="n"/>
      <c r="K421" s="6" t="n"/>
      <c r="L421" s="6" t="n"/>
      <c r="M421" s="6" t="n"/>
      <c r="N421" s="5" t="n"/>
      <c r="O421" s="21" t="n"/>
      <c r="P421" s="5" t="n"/>
      <c r="Q421" s="5" t="n"/>
      <c r="R421" s="6" t="n"/>
      <c r="S421" s="4" t="n"/>
      <c r="T421" s="4" t="n"/>
      <c r="U421" s="3">
        <f>IF(C421="","",IF(T421="",TODAY()-C421,T421-C421))</f>
        <v/>
      </c>
      <c r="V421" s="5" t="n"/>
      <c r="W421" s="6" t="n"/>
      <c r="X421" s="3">
        <f>IF(P421="","",IFERROR(VLOOKUP(P421,Parâmetros!$J$2:$K$5,2,FALSE),""))</f>
        <v/>
      </c>
      <c r="Y421" s="4">
        <f>IF(OR(C421="",X421=""),"",C421+X421)</f>
        <v/>
      </c>
      <c r="Z421" s="5">
        <f>IF(C421="","",IF(Q421="Concluído","Concluído",IF(Y421&lt;TODAY(),"Vencido",IF(Y421-TODAY()&lt;=2,"A vencer","No prazo"))))</f>
        <v/>
      </c>
      <c r="AA421" s="3">
        <f>IF(OR(Y421="",Q421="Concluído"),"",Y421-TODAY())</f>
        <v/>
      </c>
      <c r="AB421" s="5" t="n"/>
      <c r="AC421" s="5" t="n"/>
      <c r="AD421" s="4" t="n"/>
    </row>
    <row r="422">
      <c r="A422" s="3">
        <f>IF(C422="","",ROW()-1)</f>
        <v/>
      </c>
      <c r="B422" s="4" t="n"/>
      <c r="C422" s="4" t="n"/>
      <c r="D422" s="5" t="n"/>
      <c r="E422" s="5" t="n"/>
      <c r="F422" s="5" t="n"/>
      <c r="G422" s="5" t="n"/>
      <c r="H422" s="5" t="n"/>
      <c r="I422" s="5" t="n"/>
      <c r="J422" s="5" t="n"/>
      <c r="K422" s="6" t="n"/>
      <c r="L422" s="6" t="n"/>
      <c r="M422" s="6" t="n"/>
      <c r="N422" s="5" t="n"/>
      <c r="O422" s="21" t="n"/>
      <c r="P422" s="5" t="n"/>
      <c r="Q422" s="5" t="n"/>
      <c r="R422" s="6" t="n"/>
      <c r="S422" s="4" t="n"/>
      <c r="T422" s="4" t="n"/>
      <c r="U422" s="3">
        <f>IF(C422="","",IF(T422="",TODAY()-C422,T422-C422))</f>
        <v/>
      </c>
      <c r="V422" s="5" t="n"/>
      <c r="W422" s="6" t="n"/>
      <c r="X422" s="3">
        <f>IF(P422="","",IFERROR(VLOOKUP(P422,Parâmetros!$J$2:$K$5,2,FALSE),""))</f>
        <v/>
      </c>
      <c r="Y422" s="4">
        <f>IF(OR(C422="",X422=""),"",C422+X422)</f>
        <v/>
      </c>
      <c r="Z422" s="5">
        <f>IF(C422="","",IF(Q422="Concluído","Concluído",IF(Y422&lt;TODAY(),"Vencido",IF(Y422-TODAY()&lt;=2,"A vencer","No prazo"))))</f>
        <v/>
      </c>
      <c r="AA422" s="3">
        <f>IF(OR(Y422="",Q422="Concluído"),"",Y422-TODAY())</f>
        <v/>
      </c>
      <c r="AB422" s="5" t="n"/>
      <c r="AC422" s="5" t="n"/>
      <c r="AD422" s="4" t="n"/>
    </row>
    <row r="423">
      <c r="A423" s="3">
        <f>IF(C423="","",ROW()-1)</f>
        <v/>
      </c>
      <c r="B423" s="4" t="n"/>
      <c r="C423" s="4" t="n"/>
      <c r="D423" s="5" t="n"/>
      <c r="E423" s="5" t="n"/>
      <c r="F423" s="5" t="n"/>
      <c r="G423" s="5" t="n"/>
      <c r="H423" s="5" t="n"/>
      <c r="I423" s="5" t="n"/>
      <c r="J423" s="5" t="n"/>
      <c r="K423" s="6" t="n"/>
      <c r="L423" s="6" t="n"/>
      <c r="M423" s="6" t="n"/>
      <c r="N423" s="5" t="n"/>
      <c r="O423" s="21" t="n"/>
      <c r="P423" s="5" t="n"/>
      <c r="Q423" s="5" t="n"/>
      <c r="R423" s="6" t="n"/>
      <c r="S423" s="4" t="n"/>
      <c r="T423" s="4" t="n"/>
      <c r="U423" s="3">
        <f>IF(C423="","",IF(T423="",TODAY()-C423,T423-C423))</f>
        <v/>
      </c>
      <c r="V423" s="5" t="n"/>
      <c r="W423" s="6" t="n"/>
      <c r="X423" s="3">
        <f>IF(P423="","",IFERROR(VLOOKUP(P423,Parâmetros!$J$2:$K$5,2,FALSE),""))</f>
        <v/>
      </c>
      <c r="Y423" s="4">
        <f>IF(OR(C423="",X423=""),"",C423+X423)</f>
        <v/>
      </c>
      <c r="Z423" s="5">
        <f>IF(C423="","",IF(Q423="Concluído","Concluído",IF(Y423&lt;TODAY(),"Vencido",IF(Y423-TODAY()&lt;=2,"A vencer","No prazo"))))</f>
        <v/>
      </c>
      <c r="AA423" s="3">
        <f>IF(OR(Y423="",Q423="Concluído"),"",Y423-TODAY())</f>
        <v/>
      </c>
      <c r="AB423" s="5" t="n"/>
      <c r="AC423" s="5" t="n"/>
      <c r="AD423" s="4" t="n"/>
    </row>
    <row r="424">
      <c r="A424" s="3">
        <f>IF(C424="","",ROW()-1)</f>
        <v/>
      </c>
      <c r="B424" s="4" t="n"/>
      <c r="C424" s="4" t="n"/>
      <c r="D424" s="5" t="n"/>
      <c r="E424" s="5" t="n"/>
      <c r="F424" s="5" t="n"/>
      <c r="G424" s="5" t="n"/>
      <c r="H424" s="5" t="n"/>
      <c r="I424" s="5" t="n"/>
      <c r="J424" s="5" t="n"/>
      <c r="K424" s="6" t="n"/>
      <c r="L424" s="6" t="n"/>
      <c r="M424" s="6" t="n"/>
      <c r="N424" s="5" t="n"/>
      <c r="O424" s="21" t="n"/>
      <c r="P424" s="5" t="n"/>
      <c r="Q424" s="5" t="n"/>
      <c r="R424" s="6" t="n"/>
      <c r="S424" s="4" t="n"/>
      <c r="T424" s="4" t="n"/>
      <c r="U424" s="3">
        <f>IF(C424="","",IF(T424="",TODAY()-C424,T424-C424))</f>
        <v/>
      </c>
      <c r="V424" s="5" t="n"/>
      <c r="W424" s="6" t="n"/>
      <c r="X424" s="3">
        <f>IF(P424="","",IFERROR(VLOOKUP(P424,Parâmetros!$J$2:$K$5,2,FALSE),""))</f>
        <v/>
      </c>
      <c r="Y424" s="4">
        <f>IF(OR(C424="",X424=""),"",C424+X424)</f>
        <v/>
      </c>
      <c r="Z424" s="5">
        <f>IF(C424="","",IF(Q424="Concluído","Concluído",IF(Y424&lt;TODAY(),"Vencido",IF(Y424-TODAY()&lt;=2,"A vencer","No prazo"))))</f>
        <v/>
      </c>
      <c r="AA424" s="3">
        <f>IF(OR(Y424="",Q424="Concluído"),"",Y424-TODAY())</f>
        <v/>
      </c>
      <c r="AB424" s="5" t="n"/>
      <c r="AC424" s="5" t="n"/>
      <c r="AD424" s="4" t="n"/>
    </row>
    <row r="425">
      <c r="A425" s="3">
        <f>IF(C425="","",ROW()-1)</f>
        <v/>
      </c>
      <c r="B425" s="4" t="n"/>
      <c r="C425" s="4" t="n"/>
      <c r="D425" s="5" t="n"/>
      <c r="E425" s="5" t="n"/>
      <c r="F425" s="5" t="n"/>
      <c r="G425" s="5" t="n"/>
      <c r="H425" s="5" t="n"/>
      <c r="I425" s="5" t="n"/>
      <c r="J425" s="5" t="n"/>
      <c r="K425" s="6" t="n"/>
      <c r="L425" s="6" t="n"/>
      <c r="M425" s="6" t="n"/>
      <c r="N425" s="5" t="n"/>
      <c r="O425" s="21" t="n"/>
      <c r="P425" s="5" t="n"/>
      <c r="Q425" s="5" t="n"/>
      <c r="R425" s="6" t="n"/>
      <c r="S425" s="4" t="n"/>
      <c r="T425" s="4" t="n"/>
      <c r="U425" s="3">
        <f>IF(C425="","",IF(T425="",TODAY()-C425,T425-C425))</f>
        <v/>
      </c>
      <c r="V425" s="5" t="n"/>
      <c r="W425" s="6" t="n"/>
      <c r="X425" s="3">
        <f>IF(P425="","",IFERROR(VLOOKUP(P425,Parâmetros!$J$2:$K$5,2,FALSE),""))</f>
        <v/>
      </c>
      <c r="Y425" s="4">
        <f>IF(OR(C425="",X425=""),"",C425+X425)</f>
        <v/>
      </c>
      <c r="Z425" s="5">
        <f>IF(C425="","",IF(Q425="Concluído","Concluído",IF(Y425&lt;TODAY(),"Vencido",IF(Y425-TODAY()&lt;=2,"A vencer","No prazo"))))</f>
        <v/>
      </c>
      <c r="AA425" s="3">
        <f>IF(OR(Y425="",Q425="Concluído"),"",Y425-TODAY())</f>
        <v/>
      </c>
      <c r="AB425" s="5" t="n"/>
      <c r="AC425" s="5" t="n"/>
      <c r="AD425" s="4" t="n"/>
    </row>
    <row r="426">
      <c r="A426" s="3">
        <f>IF(C426="","",ROW()-1)</f>
        <v/>
      </c>
      <c r="B426" s="4" t="n"/>
      <c r="C426" s="4" t="n"/>
      <c r="D426" s="5" t="n"/>
      <c r="E426" s="5" t="n"/>
      <c r="F426" s="5" t="n"/>
      <c r="G426" s="5" t="n"/>
      <c r="H426" s="5" t="n"/>
      <c r="I426" s="5" t="n"/>
      <c r="J426" s="5" t="n"/>
      <c r="K426" s="6" t="n"/>
      <c r="L426" s="6" t="n"/>
      <c r="M426" s="6" t="n"/>
      <c r="N426" s="5" t="n"/>
      <c r="O426" s="21" t="n"/>
      <c r="P426" s="5" t="n"/>
      <c r="Q426" s="5" t="n"/>
      <c r="R426" s="6" t="n"/>
      <c r="S426" s="4" t="n"/>
      <c r="T426" s="4" t="n"/>
      <c r="U426" s="3">
        <f>IF(C426="","",IF(T426="",TODAY()-C426,T426-C426))</f>
        <v/>
      </c>
      <c r="V426" s="5" t="n"/>
      <c r="W426" s="6" t="n"/>
      <c r="X426" s="3">
        <f>IF(P426="","",IFERROR(VLOOKUP(P426,Parâmetros!$J$2:$K$5,2,FALSE),""))</f>
        <v/>
      </c>
      <c r="Y426" s="4">
        <f>IF(OR(C426="",X426=""),"",C426+X426)</f>
        <v/>
      </c>
      <c r="Z426" s="5">
        <f>IF(C426="","",IF(Q426="Concluído","Concluído",IF(Y426&lt;TODAY(),"Vencido",IF(Y426-TODAY()&lt;=2,"A vencer","No prazo"))))</f>
        <v/>
      </c>
      <c r="AA426" s="3">
        <f>IF(OR(Y426="",Q426="Concluído"),"",Y426-TODAY())</f>
        <v/>
      </c>
      <c r="AB426" s="5" t="n"/>
      <c r="AC426" s="5" t="n"/>
      <c r="AD426" s="4" t="n"/>
    </row>
    <row r="427">
      <c r="A427" s="3">
        <f>IF(C427="","",ROW()-1)</f>
        <v/>
      </c>
      <c r="B427" s="4" t="n"/>
      <c r="C427" s="4" t="n"/>
      <c r="D427" s="5" t="n"/>
      <c r="E427" s="5" t="n"/>
      <c r="F427" s="5" t="n"/>
      <c r="G427" s="5" t="n"/>
      <c r="H427" s="5" t="n"/>
      <c r="I427" s="5" t="n"/>
      <c r="J427" s="5" t="n"/>
      <c r="K427" s="6" t="n"/>
      <c r="L427" s="6" t="n"/>
      <c r="M427" s="6" t="n"/>
      <c r="N427" s="5" t="n"/>
      <c r="O427" s="21" t="n"/>
      <c r="P427" s="5" t="n"/>
      <c r="Q427" s="5" t="n"/>
      <c r="R427" s="6" t="n"/>
      <c r="S427" s="4" t="n"/>
      <c r="T427" s="4" t="n"/>
      <c r="U427" s="3">
        <f>IF(C427="","",IF(T427="",TODAY()-C427,T427-C427))</f>
        <v/>
      </c>
      <c r="V427" s="5" t="n"/>
      <c r="W427" s="6" t="n"/>
      <c r="X427" s="3">
        <f>IF(P427="","",IFERROR(VLOOKUP(P427,Parâmetros!$J$2:$K$5,2,FALSE),""))</f>
        <v/>
      </c>
      <c r="Y427" s="4">
        <f>IF(OR(C427="",X427=""),"",C427+X427)</f>
        <v/>
      </c>
      <c r="Z427" s="5">
        <f>IF(C427="","",IF(Q427="Concluído","Concluído",IF(Y427&lt;TODAY(),"Vencido",IF(Y427-TODAY()&lt;=2,"A vencer","No prazo"))))</f>
        <v/>
      </c>
      <c r="AA427" s="3">
        <f>IF(OR(Y427="",Q427="Concluído"),"",Y427-TODAY())</f>
        <v/>
      </c>
      <c r="AB427" s="5" t="n"/>
      <c r="AC427" s="5" t="n"/>
      <c r="AD427" s="4" t="n"/>
    </row>
    <row r="428">
      <c r="A428" s="3">
        <f>IF(C428="","",ROW()-1)</f>
        <v/>
      </c>
      <c r="B428" s="4" t="n"/>
      <c r="C428" s="4" t="n"/>
      <c r="D428" s="5" t="n"/>
      <c r="E428" s="5" t="n"/>
      <c r="F428" s="5" t="n"/>
      <c r="G428" s="5" t="n"/>
      <c r="H428" s="5" t="n"/>
      <c r="I428" s="5" t="n"/>
      <c r="J428" s="5" t="n"/>
      <c r="K428" s="6" t="n"/>
      <c r="L428" s="6" t="n"/>
      <c r="M428" s="6" t="n"/>
      <c r="N428" s="5" t="n"/>
      <c r="O428" s="21" t="n"/>
      <c r="P428" s="5" t="n"/>
      <c r="Q428" s="5" t="n"/>
      <c r="R428" s="6" t="n"/>
      <c r="S428" s="4" t="n"/>
      <c r="T428" s="4" t="n"/>
      <c r="U428" s="3">
        <f>IF(C428="","",IF(T428="",TODAY()-C428,T428-C428))</f>
        <v/>
      </c>
      <c r="V428" s="5" t="n"/>
      <c r="W428" s="6" t="n"/>
      <c r="X428" s="3">
        <f>IF(P428="","",IFERROR(VLOOKUP(P428,Parâmetros!$J$2:$K$5,2,FALSE),""))</f>
        <v/>
      </c>
      <c r="Y428" s="4">
        <f>IF(OR(C428="",X428=""),"",C428+X428)</f>
        <v/>
      </c>
      <c r="Z428" s="5">
        <f>IF(C428="","",IF(Q428="Concluído","Concluído",IF(Y428&lt;TODAY(),"Vencido",IF(Y428-TODAY()&lt;=2,"A vencer","No prazo"))))</f>
        <v/>
      </c>
      <c r="AA428" s="3">
        <f>IF(OR(Y428="",Q428="Concluído"),"",Y428-TODAY())</f>
        <v/>
      </c>
      <c r="AB428" s="5" t="n"/>
      <c r="AC428" s="5" t="n"/>
      <c r="AD428" s="4" t="n"/>
    </row>
    <row r="429">
      <c r="A429" s="3">
        <f>IF(C429="","",ROW()-1)</f>
        <v/>
      </c>
      <c r="B429" s="4" t="n"/>
      <c r="C429" s="4" t="n"/>
      <c r="D429" s="5" t="n"/>
      <c r="E429" s="5" t="n"/>
      <c r="F429" s="5" t="n"/>
      <c r="G429" s="5" t="n"/>
      <c r="H429" s="5" t="n"/>
      <c r="I429" s="5" t="n"/>
      <c r="J429" s="5" t="n"/>
      <c r="K429" s="6" t="n"/>
      <c r="L429" s="6" t="n"/>
      <c r="M429" s="6" t="n"/>
      <c r="N429" s="5" t="n"/>
      <c r="O429" s="21" t="n"/>
      <c r="P429" s="5" t="n"/>
      <c r="Q429" s="5" t="n"/>
      <c r="R429" s="6" t="n"/>
      <c r="S429" s="4" t="n"/>
      <c r="T429" s="4" t="n"/>
      <c r="U429" s="3">
        <f>IF(C429="","",IF(T429="",TODAY()-C429,T429-C429))</f>
        <v/>
      </c>
      <c r="V429" s="5" t="n"/>
      <c r="W429" s="6" t="n"/>
      <c r="X429" s="3">
        <f>IF(P429="","",IFERROR(VLOOKUP(P429,Parâmetros!$J$2:$K$5,2,FALSE),""))</f>
        <v/>
      </c>
      <c r="Y429" s="4">
        <f>IF(OR(C429="",X429=""),"",C429+X429)</f>
        <v/>
      </c>
      <c r="Z429" s="5">
        <f>IF(C429="","",IF(Q429="Concluído","Concluído",IF(Y429&lt;TODAY(),"Vencido",IF(Y429-TODAY()&lt;=2,"A vencer","No prazo"))))</f>
        <v/>
      </c>
      <c r="AA429" s="3">
        <f>IF(OR(Y429="",Q429="Concluído"),"",Y429-TODAY())</f>
        <v/>
      </c>
      <c r="AB429" s="5" t="n"/>
      <c r="AC429" s="5" t="n"/>
      <c r="AD429" s="4" t="n"/>
    </row>
    <row r="430">
      <c r="A430" s="3">
        <f>IF(C430="","",ROW()-1)</f>
        <v/>
      </c>
      <c r="B430" s="4" t="n"/>
      <c r="C430" s="4" t="n"/>
      <c r="D430" s="5" t="n"/>
      <c r="E430" s="5" t="n"/>
      <c r="F430" s="5" t="n"/>
      <c r="G430" s="5" t="n"/>
      <c r="H430" s="5" t="n"/>
      <c r="I430" s="5" t="n"/>
      <c r="J430" s="5" t="n"/>
      <c r="K430" s="6" t="n"/>
      <c r="L430" s="6" t="n"/>
      <c r="M430" s="6" t="n"/>
      <c r="N430" s="5" t="n"/>
      <c r="O430" s="21" t="n"/>
      <c r="P430" s="5" t="n"/>
      <c r="Q430" s="5" t="n"/>
      <c r="R430" s="6" t="n"/>
      <c r="S430" s="4" t="n"/>
      <c r="T430" s="4" t="n"/>
      <c r="U430" s="3">
        <f>IF(C430="","",IF(T430="",TODAY()-C430,T430-C430))</f>
        <v/>
      </c>
      <c r="V430" s="5" t="n"/>
      <c r="W430" s="6" t="n"/>
      <c r="X430" s="3">
        <f>IF(P430="","",IFERROR(VLOOKUP(P430,Parâmetros!$J$2:$K$5,2,FALSE),""))</f>
        <v/>
      </c>
      <c r="Y430" s="4">
        <f>IF(OR(C430="",X430=""),"",C430+X430)</f>
        <v/>
      </c>
      <c r="Z430" s="5">
        <f>IF(C430="","",IF(Q430="Concluído","Concluído",IF(Y430&lt;TODAY(),"Vencido",IF(Y430-TODAY()&lt;=2,"A vencer","No prazo"))))</f>
        <v/>
      </c>
      <c r="AA430" s="3">
        <f>IF(OR(Y430="",Q430="Concluído"),"",Y430-TODAY())</f>
        <v/>
      </c>
      <c r="AB430" s="5" t="n"/>
      <c r="AC430" s="5" t="n"/>
      <c r="AD430" s="4" t="n"/>
    </row>
    <row r="431">
      <c r="A431" s="3">
        <f>IF(C431="","",ROW()-1)</f>
        <v/>
      </c>
      <c r="B431" s="4" t="n"/>
      <c r="C431" s="4" t="n"/>
      <c r="D431" s="5" t="n"/>
      <c r="E431" s="5" t="n"/>
      <c r="F431" s="5" t="n"/>
      <c r="G431" s="5" t="n"/>
      <c r="H431" s="5" t="n"/>
      <c r="I431" s="5" t="n"/>
      <c r="J431" s="5" t="n"/>
      <c r="K431" s="6" t="n"/>
      <c r="L431" s="6" t="n"/>
      <c r="M431" s="6" t="n"/>
      <c r="N431" s="5" t="n"/>
      <c r="O431" s="21" t="n"/>
      <c r="P431" s="5" t="n"/>
      <c r="Q431" s="5" t="n"/>
      <c r="R431" s="6" t="n"/>
      <c r="S431" s="4" t="n"/>
      <c r="T431" s="4" t="n"/>
      <c r="U431" s="3">
        <f>IF(C431="","",IF(T431="",TODAY()-C431,T431-C431))</f>
        <v/>
      </c>
      <c r="V431" s="5" t="n"/>
      <c r="W431" s="6" t="n"/>
      <c r="X431" s="3">
        <f>IF(P431="","",IFERROR(VLOOKUP(P431,Parâmetros!$J$2:$K$5,2,FALSE),""))</f>
        <v/>
      </c>
      <c r="Y431" s="4">
        <f>IF(OR(C431="",X431=""),"",C431+X431)</f>
        <v/>
      </c>
      <c r="Z431" s="5">
        <f>IF(C431="","",IF(Q431="Concluído","Concluído",IF(Y431&lt;TODAY(),"Vencido",IF(Y431-TODAY()&lt;=2,"A vencer","No prazo"))))</f>
        <v/>
      </c>
      <c r="AA431" s="3">
        <f>IF(OR(Y431="",Q431="Concluído"),"",Y431-TODAY())</f>
        <v/>
      </c>
      <c r="AB431" s="5" t="n"/>
      <c r="AC431" s="5" t="n"/>
      <c r="AD431" s="4" t="n"/>
    </row>
    <row r="432">
      <c r="A432" s="3">
        <f>IF(C432="","",ROW()-1)</f>
        <v/>
      </c>
      <c r="B432" s="4" t="n"/>
      <c r="C432" s="4" t="n"/>
      <c r="D432" s="5" t="n"/>
      <c r="E432" s="5" t="n"/>
      <c r="F432" s="5" t="n"/>
      <c r="G432" s="5" t="n"/>
      <c r="H432" s="5" t="n"/>
      <c r="I432" s="5" t="n"/>
      <c r="J432" s="5" t="n"/>
      <c r="K432" s="6" t="n"/>
      <c r="L432" s="6" t="n"/>
      <c r="M432" s="6" t="n"/>
      <c r="N432" s="5" t="n"/>
      <c r="O432" s="21" t="n"/>
      <c r="P432" s="5" t="n"/>
      <c r="Q432" s="5" t="n"/>
      <c r="R432" s="6" t="n"/>
      <c r="S432" s="4" t="n"/>
      <c r="T432" s="4" t="n"/>
      <c r="U432" s="3">
        <f>IF(C432="","",IF(T432="",TODAY()-C432,T432-C432))</f>
        <v/>
      </c>
      <c r="V432" s="5" t="n"/>
      <c r="W432" s="6" t="n"/>
      <c r="X432" s="3">
        <f>IF(P432="","",IFERROR(VLOOKUP(P432,Parâmetros!$J$2:$K$5,2,FALSE),""))</f>
        <v/>
      </c>
      <c r="Y432" s="4">
        <f>IF(OR(C432="",X432=""),"",C432+X432)</f>
        <v/>
      </c>
      <c r="Z432" s="5">
        <f>IF(C432="","",IF(Q432="Concluído","Concluído",IF(Y432&lt;TODAY(),"Vencido",IF(Y432-TODAY()&lt;=2,"A vencer","No prazo"))))</f>
        <v/>
      </c>
      <c r="AA432" s="3">
        <f>IF(OR(Y432="",Q432="Concluído"),"",Y432-TODAY())</f>
        <v/>
      </c>
      <c r="AB432" s="5" t="n"/>
      <c r="AC432" s="5" t="n"/>
      <c r="AD432" s="4" t="n"/>
    </row>
    <row r="433">
      <c r="A433" s="3">
        <f>IF(C433="","",ROW()-1)</f>
        <v/>
      </c>
      <c r="B433" s="4" t="n"/>
      <c r="C433" s="4" t="n"/>
      <c r="D433" s="5" t="n"/>
      <c r="E433" s="5" t="n"/>
      <c r="F433" s="5" t="n"/>
      <c r="G433" s="5" t="n"/>
      <c r="H433" s="5" t="n"/>
      <c r="I433" s="5" t="n"/>
      <c r="J433" s="5" t="n"/>
      <c r="K433" s="6" t="n"/>
      <c r="L433" s="6" t="n"/>
      <c r="M433" s="6" t="n"/>
      <c r="N433" s="5" t="n"/>
      <c r="O433" s="21" t="n"/>
      <c r="P433" s="5" t="n"/>
      <c r="Q433" s="5" t="n"/>
      <c r="R433" s="6" t="n"/>
      <c r="S433" s="4" t="n"/>
      <c r="T433" s="4" t="n"/>
      <c r="U433" s="3">
        <f>IF(C433="","",IF(T433="",TODAY()-C433,T433-C433))</f>
        <v/>
      </c>
      <c r="V433" s="5" t="n"/>
      <c r="W433" s="6" t="n"/>
      <c r="X433" s="3">
        <f>IF(P433="","",IFERROR(VLOOKUP(P433,Parâmetros!$J$2:$K$5,2,FALSE),""))</f>
        <v/>
      </c>
      <c r="Y433" s="4">
        <f>IF(OR(C433="",X433=""),"",C433+X433)</f>
        <v/>
      </c>
      <c r="Z433" s="5">
        <f>IF(C433="","",IF(Q433="Concluído","Concluído",IF(Y433&lt;TODAY(),"Vencido",IF(Y433-TODAY()&lt;=2,"A vencer","No prazo"))))</f>
        <v/>
      </c>
      <c r="AA433" s="3">
        <f>IF(OR(Y433="",Q433="Concluído"),"",Y433-TODAY())</f>
        <v/>
      </c>
      <c r="AB433" s="5" t="n"/>
      <c r="AC433" s="5" t="n"/>
      <c r="AD433" s="4" t="n"/>
    </row>
    <row r="434">
      <c r="A434" s="3">
        <f>IF(C434="","",ROW()-1)</f>
        <v/>
      </c>
      <c r="B434" s="4" t="n"/>
      <c r="C434" s="4" t="n"/>
      <c r="D434" s="5" t="n"/>
      <c r="E434" s="5" t="n"/>
      <c r="F434" s="5" t="n"/>
      <c r="G434" s="5" t="n"/>
      <c r="H434" s="5" t="n"/>
      <c r="I434" s="5" t="n"/>
      <c r="J434" s="5" t="n"/>
      <c r="K434" s="6" t="n"/>
      <c r="L434" s="6" t="n"/>
      <c r="M434" s="6" t="n"/>
      <c r="N434" s="5" t="n"/>
      <c r="O434" s="21" t="n"/>
      <c r="P434" s="5" t="n"/>
      <c r="Q434" s="5" t="n"/>
      <c r="R434" s="6" t="n"/>
      <c r="S434" s="4" t="n"/>
      <c r="T434" s="4" t="n"/>
      <c r="U434" s="3">
        <f>IF(C434="","",IF(T434="",TODAY()-C434,T434-C434))</f>
        <v/>
      </c>
      <c r="V434" s="5" t="n"/>
      <c r="W434" s="6" t="n"/>
      <c r="X434" s="3">
        <f>IF(P434="","",IFERROR(VLOOKUP(P434,Parâmetros!$J$2:$K$5,2,FALSE),""))</f>
        <v/>
      </c>
      <c r="Y434" s="4">
        <f>IF(OR(C434="",X434=""),"",C434+X434)</f>
        <v/>
      </c>
      <c r="Z434" s="5">
        <f>IF(C434="","",IF(Q434="Concluído","Concluído",IF(Y434&lt;TODAY(),"Vencido",IF(Y434-TODAY()&lt;=2,"A vencer","No prazo"))))</f>
        <v/>
      </c>
      <c r="AA434" s="3">
        <f>IF(OR(Y434="",Q434="Concluído"),"",Y434-TODAY())</f>
        <v/>
      </c>
      <c r="AB434" s="5" t="n"/>
      <c r="AC434" s="5" t="n"/>
      <c r="AD434" s="4" t="n"/>
    </row>
    <row r="435">
      <c r="A435" s="3">
        <f>IF(C435="","",ROW()-1)</f>
        <v/>
      </c>
      <c r="B435" s="4" t="n"/>
      <c r="C435" s="4" t="n"/>
      <c r="D435" s="5" t="n"/>
      <c r="E435" s="5" t="n"/>
      <c r="F435" s="5" t="n"/>
      <c r="G435" s="5" t="n"/>
      <c r="H435" s="5" t="n"/>
      <c r="I435" s="5" t="n"/>
      <c r="J435" s="5" t="n"/>
      <c r="K435" s="6" t="n"/>
      <c r="L435" s="6" t="n"/>
      <c r="M435" s="6" t="n"/>
      <c r="N435" s="5" t="n"/>
      <c r="O435" s="21" t="n"/>
      <c r="P435" s="5" t="n"/>
      <c r="Q435" s="5" t="n"/>
      <c r="R435" s="6" t="n"/>
      <c r="S435" s="4" t="n"/>
      <c r="T435" s="4" t="n"/>
      <c r="U435" s="3">
        <f>IF(C435="","",IF(T435="",TODAY()-C435,T435-C435))</f>
        <v/>
      </c>
      <c r="V435" s="5" t="n"/>
      <c r="W435" s="6" t="n"/>
      <c r="X435" s="3">
        <f>IF(P435="","",IFERROR(VLOOKUP(P435,Parâmetros!$J$2:$K$5,2,FALSE),""))</f>
        <v/>
      </c>
      <c r="Y435" s="4">
        <f>IF(OR(C435="",X435=""),"",C435+X435)</f>
        <v/>
      </c>
      <c r="Z435" s="5">
        <f>IF(C435="","",IF(Q435="Concluído","Concluído",IF(Y435&lt;TODAY(),"Vencido",IF(Y435-TODAY()&lt;=2,"A vencer","No prazo"))))</f>
        <v/>
      </c>
      <c r="AA435" s="3">
        <f>IF(OR(Y435="",Q435="Concluído"),"",Y435-TODAY())</f>
        <v/>
      </c>
      <c r="AB435" s="5" t="n"/>
      <c r="AC435" s="5" t="n"/>
      <c r="AD435" s="4" t="n"/>
    </row>
    <row r="436">
      <c r="A436" s="3">
        <f>IF(C436="","",ROW()-1)</f>
        <v/>
      </c>
      <c r="B436" s="4" t="n"/>
      <c r="C436" s="4" t="n"/>
      <c r="D436" s="5" t="n"/>
      <c r="E436" s="5" t="n"/>
      <c r="F436" s="5" t="n"/>
      <c r="G436" s="5" t="n"/>
      <c r="H436" s="5" t="n"/>
      <c r="I436" s="5" t="n"/>
      <c r="J436" s="5" t="n"/>
      <c r="K436" s="6" t="n"/>
      <c r="L436" s="6" t="n"/>
      <c r="M436" s="6" t="n"/>
      <c r="N436" s="5" t="n"/>
      <c r="O436" s="21" t="n"/>
      <c r="P436" s="5" t="n"/>
      <c r="Q436" s="5" t="n"/>
      <c r="R436" s="6" t="n"/>
      <c r="S436" s="4" t="n"/>
      <c r="T436" s="4" t="n"/>
      <c r="U436" s="3">
        <f>IF(C436="","",IF(T436="",TODAY()-C436,T436-C436))</f>
        <v/>
      </c>
      <c r="V436" s="5" t="n"/>
      <c r="W436" s="6" t="n"/>
      <c r="X436" s="3">
        <f>IF(P436="","",IFERROR(VLOOKUP(P436,Parâmetros!$J$2:$K$5,2,FALSE),""))</f>
        <v/>
      </c>
      <c r="Y436" s="4">
        <f>IF(OR(C436="",X436=""),"",C436+X436)</f>
        <v/>
      </c>
      <c r="Z436" s="5">
        <f>IF(C436="","",IF(Q436="Concluído","Concluído",IF(Y436&lt;TODAY(),"Vencido",IF(Y436-TODAY()&lt;=2,"A vencer","No prazo"))))</f>
        <v/>
      </c>
      <c r="AA436" s="3">
        <f>IF(OR(Y436="",Q436="Concluído"),"",Y436-TODAY())</f>
        <v/>
      </c>
      <c r="AB436" s="5" t="n"/>
      <c r="AC436" s="5" t="n"/>
      <c r="AD436" s="4" t="n"/>
    </row>
    <row r="437">
      <c r="A437" s="3">
        <f>IF(C437="","",ROW()-1)</f>
        <v/>
      </c>
      <c r="B437" s="4" t="n"/>
      <c r="C437" s="4" t="n"/>
      <c r="D437" s="5" t="n"/>
      <c r="E437" s="5" t="n"/>
      <c r="F437" s="5" t="n"/>
      <c r="G437" s="5" t="n"/>
      <c r="H437" s="5" t="n"/>
      <c r="I437" s="5" t="n"/>
      <c r="J437" s="5" t="n"/>
      <c r="K437" s="6" t="n"/>
      <c r="L437" s="6" t="n"/>
      <c r="M437" s="6" t="n"/>
      <c r="N437" s="5" t="n"/>
      <c r="O437" s="21" t="n"/>
      <c r="P437" s="5" t="n"/>
      <c r="Q437" s="5" t="n"/>
      <c r="R437" s="6" t="n"/>
      <c r="S437" s="4" t="n"/>
      <c r="T437" s="4" t="n"/>
      <c r="U437" s="3">
        <f>IF(C437="","",IF(T437="",TODAY()-C437,T437-C437))</f>
        <v/>
      </c>
      <c r="V437" s="5" t="n"/>
      <c r="W437" s="6" t="n"/>
      <c r="X437" s="3">
        <f>IF(P437="","",IFERROR(VLOOKUP(P437,Parâmetros!$J$2:$K$5,2,FALSE),""))</f>
        <v/>
      </c>
      <c r="Y437" s="4">
        <f>IF(OR(C437="",X437=""),"",C437+X437)</f>
        <v/>
      </c>
      <c r="Z437" s="5">
        <f>IF(C437="","",IF(Q437="Concluído","Concluído",IF(Y437&lt;TODAY(),"Vencido",IF(Y437-TODAY()&lt;=2,"A vencer","No prazo"))))</f>
        <v/>
      </c>
      <c r="AA437" s="3">
        <f>IF(OR(Y437="",Q437="Concluído"),"",Y437-TODAY())</f>
        <v/>
      </c>
      <c r="AB437" s="5" t="n"/>
      <c r="AC437" s="5" t="n"/>
      <c r="AD437" s="4" t="n"/>
    </row>
    <row r="438">
      <c r="A438" s="3">
        <f>IF(C438="","",ROW()-1)</f>
        <v/>
      </c>
      <c r="B438" s="4" t="n"/>
      <c r="C438" s="4" t="n"/>
      <c r="D438" s="5" t="n"/>
      <c r="E438" s="5" t="n"/>
      <c r="F438" s="5" t="n"/>
      <c r="G438" s="5" t="n"/>
      <c r="H438" s="5" t="n"/>
      <c r="I438" s="5" t="n"/>
      <c r="J438" s="5" t="n"/>
      <c r="K438" s="6" t="n"/>
      <c r="L438" s="6" t="n"/>
      <c r="M438" s="6" t="n"/>
      <c r="N438" s="5" t="n"/>
      <c r="O438" s="21" t="n"/>
      <c r="P438" s="5" t="n"/>
      <c r="Q438" s="5" t="n"/>
      <c r="R438" s="6" t="n"/>
      <c r="S438" s="4" t="n"/>
      <c r="T438" s="4" t="n"/>
      <c r="U438" s="3">
        <f>IF(C438="","",IF(T438="",TODAY()-C438,T438-C438))</f>
        <v/>
      </c>
      <c r="V438" s="5" t="n"/>
      <c r="W438" s="6" t="n"/>
      <c r="X438" s="3">
        <f>IF(P438="","",IFERROR(VLOOKUP(P438,Parâmetros!$J$2:$K$5,2,FALSE),""))</f>
        <v/>
      </c>
      <c r="Y438" s="4">
        <f>IF(OR(C438="",X438=""),"",C438+X438)</f>
        <v/>
      </c>
      <c r="Z438" s="5">
        <f>IF(C438="","",IF(Q438="Concluído","Concluído",IF(Y438&lt;TODAY(),"Vencido",IF(Y438-TODAY()&lt;=2,"A vencer","No prazo"))))</f>
        <v/>
      </c>
      <c r="AA438" s="3">
        <f>IF(OR(Y438="",Q438="Concluído"),"",Y438-TODAY())</f>
        <v/>
      </c>
      <c r="AB438" s="5" t="n"/>
      <c r="AC438" s="5" t="n"/>
      <c r="AD438" s="4" t="n"/>
    </row>
    <row r="439">
      <c r="A439" s="3">
        <f>IF(C439="","",ROW()-1)</f>
        <v/>
      </c>
      <c r="B439" s="4" t="n"/>
      <c r="C439" s="4" t="n"/>
      <c r="D439" s="5" t="n"/>
      <c r="E439" s="5" t="n"/>
      <c r="F439" s="5" t="n"/>
      <c r="G439" s="5" t="n"/>
      <c r="H439" s="5" t="n"/>
      <c r="I439" s="5" t="n"/>
      <c r="J439" s="5" t="n"/>
      <c r="K439" s="6" t="n"/>
      <c r="L439" s="6" t="n"/>
      <c r="M439" s="6" t="n"/>
      <c r="N439" s="5" t="n"/>
      <c r="O439" s="21" t="n"/>
      <c r="P439" s="5" t="n"/>
      <c r="Q439" s="5" t="n"/>
      <c r="R439" s="6" t="n"/>
      <c r="S439" s="4" t="n"/>
      <c r="T439" s="4" t="n"/>
      <c r="U439" s="3">
        <f>IF(C439="","",IF(T439="",TODAY()-C439,T439-C439))</f>
        <v/>
      </c>
      <c r="V439" s="5" t="n"/>
      <c r="W439" s="6" t="n"/>
      <c r="X439" s="3">
        <f>IF(P439="","",IFERROR(VLOOKUP(P439,Parâmetros!$J$2:$K$5,2,FALSE),""))</f>
        <v/>
      </c>
      <c r="Y439" s="4">
        <f>IF(OR(C439="",X439=""),"",C439+X439)</f>
        <v/>
      </c>
      <c r="Z439" s="5">
        <f>IF(C439="","",IF(Q439="Concluído","Concluído",IF(Y439&lt;TODAY(),"Vencido",IF(Y439-TODAY()&lt;=2,"A vencer","No prazo"))))</f>
        <v/>
      </c>
      <c r="AA439" s="3">
        <f>IF(OR(Y439="",Q439="Concluído"),"",Y439-TODAY())</f>
        <v/>
      </c>
      <c r="AB439" s="5" t="n"/>
      <c r="AC439" s="5" t="n"/>
      <c r="AD439" s="4" t="n"/>
    </row>
    <row r="440">
      <c r="A440" s="3">
        <f>IF(C440="","",ROW()-1)</f>
        <v/>
      </c>
      <c r="B440" s="4" t="n"/>
      <c r="C440" s="4" t="n"/>
      <c r="D440" s="5" t="n"/>
      <c r="E440" s="5" t="n"/>
      <c r="F440" s="5" t="n"/>
      <c r="G440" s="5" t="n"/>
      <c r="H440" s="5" t="n"/>
      <c r="I440" s="5" t="n"/>
      <c r="J440" s="5" t="n"/>
      <c r="K440" s="6" t="n"/>
      <c r="L440" s="6" t="n"/>
      <c r="M440" s="6" t="n"/>
      <c r="N440" s="5" t="n"/>
      <c r="O440" s="21" t="n"/>
      <c r="P440" s="5" t="n"/>
      <c r="Q440" s="5" t="n"/>
      <c r="R440" s="6" t="n"/>
      <c r="S440" s="4" t="n"/>
      <c r="T440" s="4" t="n"/>
      <c r="U440" s="3">
        <f>IF(C440="","",IF(T440="",TODAY()-C440,T440-C440))</f>
        <v/>
      </c>
      <c r="V440" s="5" t="n"/>
      <c r="W440" s="6" t="n"/>
      <c r="X440" s="3">
        <f>IF(P440="","",IFERROR(VLOOKUP(P440,Parâmetros!$J$2:$K$5,2,FALSE),""))</f>
        <v/>
      </c>
      <c r="Y440" s="4">
        <f>IF(OR(C440="",X440=""),"",C440+X440)</f>
        <v/>
      </c>
      <c r="Z440" s="5">
        <f>IF(C440="","",IF(Q440="Concluído","Concluído",IF(Y440&lt;TODAY(),"Vencido",IF(Y440-TODAY()&lt;=2,"A vencer","No prazo"))))</f>
        <v/>
      </c>
      <c r="AA440" s="3">
        <f>IF(OR(Y440="",Q440="Concluído"),"",Y440-TODAY())</f>
        <v/>
      </c>
      <c r="AB440" s="5" t="n"/>
      <c r="AC440" s="5" t="n"/>
      <c r="AD440" s="4" t="n"/>
    </row>
    <row r="441">
      <c r="A441" s="3">
        <f>IF(C441="","",ROW()-1)</f>
        <v/>
      </c>
      <c r="B441" s="4" t="n"/>
      <c r="C441" s="4" t="n"/>
      <c r="D441" s="5" t="n"/>
      <c r="E441" s="5" t="n"/>
      <c r="F441" s="5" t="n"/>
      <c r="G441" s="5" t="n"/>
      <c r="H441" s="5" t="n"/>
      <c r="I441" s="5" t="n"/>
      <c r="J441" s="5" t="n"/>
      <c r="K441" s="6" t="n"/>
      <c r="L441" s="6" t="n"/>
      <c r="M441" s="6" t="n"/>
      <c r="N441" s="5" t="n"/>
      <c r="O441" s="21" t="n"/>
      <c r="P441" s="5" t="n"/>
      <c r="Q441" s="5" t="n"/>
      <c r="R441" s="6" t="n"/>
      <c r="S441" s="4" t="n"/>
      <c r="T441" s="4" t="n"/>
      <c r="U441" s="3">
        <f>IF(C441="","",IF(T441="",TODAY()-C441,T441-C441))</f>
        <v/>
      </c>
      <c r="V441" s="5" t="n"/>
      <c r="W441" s="6" t="n"/>
      <c r="X441" s="3">
        <f>IF(P441="","",IFERROR(VLOOKUP(P441,Parâmetros!$J$2:$K$5,2,FALSE),""))</f>
        <v/>
      </c>
      <c r="Y441" s="4">
        <f>IF(OR(C441="",X441=""),"",C441+X441)</f>
        <v/>
      </c>
      <c r="Z441" s="5">
        <f>IF(C441="","",IF(Q441="Concluído","Concluído",IF(Y441&lt;TODAY(),"Vencido",IF(Y441-TODAY()&lt;=2,"A vencer","No prazo"))))</f>
        <v/>
      </c>
      <c r="AA441" s="3">
        <f>IF(OR(Y441="",Q441="Concluído"),"",Y441-TODAY())</f>
        <v/>
      </c>
      <c r="AB441" s="5" t="n"/>
      <c r="AC441" s="5" t="n"/>
      <c r="AD441" s="4" t="n"/>
    </row>
    <row r="442">
      <c r="A442" s="3">
        <f>IF(C442="","",ROW()-1)</f>
        <v/>
      </c>
      <c r="B442" s="4" t="n"/>
      <c r="C442" s="4" t="n"/>
      <c r="D442" s="5" t="n"/>
      <c r="E442" s="5" t="n"/>
      <c r="F442" s="5" t="n"/>
      <c r="G442" s="5" t="n"/>
      <c r="H442" s="5" t="n"/>
      <c r="I442" s="5" t="n"/>
      <c r="J442" s="5" t="n"/>
      <c r="K442" s="6" t="n"/>
      <c r="L442" s="6" t="n"/>
      <c r="M442" s="6" t="n"/>
      <c r="N442" s="5" t="n"/>
      <c r="O442" s="21" t="n"/>
      <c r="P442" s="5" t="n"/>
      <c r="Q442" s="5" t="n"/>
      <c r="R442" s="6" t="n"/>
      <c r="S442" s="4" t="n"/>
      <c r="T442" s="4" t="n"/>
      <c r="U442" s="3">
        <f>IF(C442="","",IF(T442="",TODAY()-C442,T442-C442))</f>
        <v/>
      </c>
      <c r="V442" s="5" t="n"/>
      <c r="W442" s="6" t="n"/>
      <c r="X442" s="3">
        <f>IF(P442="","",IFERROR(VLOOKUP(P442,Parâmetros!$J$2:$K$5,2,FALSE),""))</f>
        <v/>
      </c>
      <c r="Y442" s="4">
        <f>IF(OR(C442="",X442=""),"",C442+X442)</f>
        <v/>
      </c>
      <c r="Z442" s="5">
        <f>IF(C442="","",IF(Q442="Concluído","Concluído",IF(Y442&lt;TODAY(),"Vencido",IF(Y442-TODAY()&lt;=2,"A vencer","No prazo"))))</f>
        <v/>
      </c>
      <c r="AA442" s="3">
        <f>IF(OR(Y442="",Q442="Concluído"),"",Y442-TODAY())</f>
        <v/>
      </c>
      <c r="AB442" s="5" t="n"/>
      <c r="AC442" s="5" t="n"/>
      <c r="AD442" s="4" t="n"/>
    </row>
    <row r="443">
      <c r="A443" s="3">
        <f>IF(C443="","",ROW()-1)</f>
        <v/>
      </c>
      <c r="B443" s="4" t="n"/>
      <c r="C443" s="4" t="n"/>
      <c r="D443" s="5" t="n"/>
      <c r="E443" s="5" t="n"/>
      <c r="F443" s="5" t="n"/>
      <c r="G443" s="5" t="n"/>
      <c r="H443" s="5" t="n"/>
      <c r="I443" s="5" t="n"/>
      <c r="J443" s="5" t="n"/>
      <c r="K443" s="6" t="n"/>
      <c r="L443" s="6" t="n"/>
      <c r="M443" s="6" t="n"/>
      <c r="N443" s="5" t="n"/>
      <c r="O443" s="21" t="n"/>
      <c r="P443" s="5" t="n"/>
      <c r="Q443" s="5" t="n"/>
      <c r="R443" s="6" t="n"/>
      <c r="S443" s="4" t="n"/>
      <c r="T443" s="4" t="n"/>
      <c r="U443" s="3">
        <f>IF(C443="","",IF(T443="",TODAY()-C443,T443-C443))</f>
        <v/>
      </c>
      <c r="V443" s="5" t="n"/>
      <c r="W443" s="6" t="n"/>
      <c r="X443" s="3">
        <f>IF(P443="","",IFERROR(VLOOKUP(P443,Parâmetros!$J$2:$K$5,2,FALSE),""))</f>
        <v/>
      </c>
      <c r="Y443" s="4">
        <f>IF(OR(C443="",X443=""),"",C443+X443)</f>
        <v/>
      </c>
      <c r="Z443" s="5">
        <f>IF(C443="","",IF(Q443="Concluído","Concluído",IF(Y443&lt;TODAY(),"Vencido",IF(Y443-TODAY()&lt;=2,"A vencer","No prazo"))))</f>
        <v/>
      </c>
      <c r="AA443" s="3">
        <f>IF(OR(Y443="",Q443="Concluído"),"",Y443-TODAY())</f>
        <v/>
      </c>
      <c r="AB443" s="5" t="n"/>
      <c r="AC443" s="5" t="n"/>
      <c r="AD443" s="4" t="n"/>
    </row>
    <row r="444">
      <c r="A444" s="3">
        <f>IF(C444="","",ROW()-1)</f>
        <v/>
      </c>
      <c r="B444" s="4" t="n"/>
      <c r="C444" s="4" t="n"/>
      <c r="D444" s="5" t="n"/>
      <c r="E444" s="5" t="n"/>
      <c r="F444" s="5" t="n"/>
      <c r="G444" s="5" t="n"/>
      <c r="H444" s="5" t="n"/>
      <c r="I444" s="5" t="n"/>
      <c r="J444" s="5" t="n"/>
      <c r="K444" s="6" t="n"/>
      <c r="L444" s="6" t="n"/>
      <c r="M444" s="6" t="n"/>
      <c r="N444" s="5" t="n"/>
      <c r="O444" s="21" t="n"/>
      <c r="P444" s="5" t="n"/>
      <c r="Q444" s="5" t="n"/>
      <c r="R444" s="6" t="n"/>
      <c r="S444" s="4" t="n"/>
      <c r="T444" s="4" t="n"/>
      <c r="U444" s="3">
        <f>IF(C444="","",IF(T444="",TODAY()-C444,T444-C444))</f>
        <v/>
      </c>
      <c r="V444" s="5" t="n"/>
      <c r="W444" s="6" t="n"/>
      <c r="X444" s="3">
        <f>IF(P444="","",IFERROR(VLOOKUP(P444,Parâmetros!$J$2:$K$5,2,FALSE),""))</f>
        <v/>
      </c>
      <c r="Y444" s="4">
        <f>IF(OR(C444="",X444=""),"",C444+X444)</f>
        <v/>
      </c>
      <c r="Z444" s="5">
        <f>IF(C444="","",IF(Q444="Concluído","Concluído",IF(Y444&lt;TODAY(),"Vencido",IF(Y444-TODAY()&lt;=2,"A vencer","No prazo"))))</f>
        <v/>
      </c>
      <c r="AA444" s="3">
        <f>IF(OR(Y444="",Q444="Concluído"),"",Y444-TODAY())</f>
        <v/>
      </c>
      <c r="AB444" s="5" t="n"/>
      <c r="AC444" s="5" t="n"/>
      <c r="AD444" s="4" t="n"/>
    </row>
    <row r="445">
      <c r="A445" s="3">
        <f>IF(C445="","",ROW()-1)</f>
        <v/>
      </c>
      <c r="B445" s="4" t="n"/>
      <c r="C445" s="4" t="n"/>
      <c r="D445" s="5" t="n"/>
      <c r="E445" s="5" t="n"/>
      <c r="F445" s="5" t="n"/>
      <c r="G445" s="5" t="n"/>
      <c r="H445" s="5" t="n"/>
      <c r="I445" s="5" t="n"/>
      <c r="J445" s="5" t="n"/>
      <c r="K445" s="6" t="n"/>
      <c r="L445" s="6" t="n"/>
      <c r="M445" s="6" t="n"/>
      <c r="N445" s="5" t="n"/>
      <c r="O445" s="21" t="n"/>
      <c r="P445" s="5" t="n"/>
      <c r="Q445" s="5" t="n"/>
      <c r="R445" s="6" t="n"/>
      <c r="S445" s="4" t="n"/>
      <c r="T445" s="4" t="n"/>
      <c r="U445" s="3">
        <f>IF(C445="","",IF(T445="",TODAY()-C445,T445-C445))</f>
        <v/>
      </c>
      <c r="V445" s="5" t="n"/>
      <c r="W445" s="6" t="n"/>
      <c r="X445" s="3">
        <f>IF(P445="","",IFERROR(VLOOKUP(P445,Parâmetros!$J$2:$K$5,2,FALSE),""))</f>
        <v/>
      </c>
      <c r="Y445" s="4">
        <f>IF(OR(C445="",X445=""),"",C445+X445)</f>
        <v/>
      </c>
      <c r="Z445" s="5">
        <f>IF(C445="","",IF(Q445="Concluído","Concluído",IF(Y445&lt;TODAY(),"Vencido",IF(Y445-TODAY()&lt;=2,"A vencer","No prazo"))))</f>
        <v/>
      </c>
      <c r="AA445" s="3">
        <f>IF(OR(Y445="",Q445="Concluído"),"",Y445-TODAY())</f>
        <v/>
      </c>
      <c r="AB445" s="5" t="n"/>
      <c r="AC445" s="5" t="n"/>
      <c r="AD445" s="4" t="n"/>
    </row>
    <row r="446">
      <c r="A446" s="3">
        <f>IF(C446="","",ROW()-1)</f>
        <v/>
      </c>
      <c r="B446" s="4" t="n"/>
      <c r="C446" s="4" t="n"/>
      <c r="D446" s="5" t="n"/>
      <c r="E446" s="5" t="n"/>
      <c r="F446" s="5" t="n"/>
      <c r="G446" s="5" t="n"/>
      <c r="H446" s="5" t="n"/>
      <c r="I446" s="5" t="n"/>
      <c r="J446" s="5" t="n"/>
      <c r="K446" s="6" t="n"/>
      <c r="L446" s="6" t="n"/>
      <c r="M446" s="6" t="n"/>
      <c r="N446" s="5" t="n"/>
      <c r="O446" s="21" t="n"/>
      <c r="P446" s="5" t="n"/>
      <c r="Q446" s="5" t="n"/>
      <c r="R446" s="6" t="n"/>
      <c r="S446" s="4" t="n"/>
      <c r="T446" s="4" t="n"/>
      <c r="U446" s="3">
        <f>IF(C446="","",IF(T446="",TODAY()-C446,T446-C446))</f>
        <v/>
      </c>
      <c r="V446" s="5" t="n"/>
      <c r="W446" s="6" t="n"/>
      <c r="X446" s="3">
        <f>IF(P446="","",IFERROR(VLOOKUP(P446,Parâmetros!$J$2:$K$5,2,FALSE),""))</f>
        <v/>
      </c>
      <c r="Y446" s="4">
        <f>IF(OR(C446="",X446=""),"",C446+X446)</f>
        <v/>
      </c>
      <c r="Z446" s="5">
        <f>IF(C446="","",IF(Q446="Concluído","Concluído",IF(Y446&lt;TODAY(),"Vencido",IF(Y446-TODAY()&lt;=2,"A vencer","No prazo"))))</f>
        <v/>
      </c>
      <c r="AA446" s="3">
        <f>IF(OR(Y446="",Q446="Concluído"),"",Y446-TODAY())</f>
        <v/>
      </c>
      <c r="AB446" s="5" t="n"/>
      <c r="AC446" s="5" t="n"/>
      <c r="AD446" s="4" t="n"/>
    </row>
    <row r="447">
      <c r="A447" s="3">
        <f>IF(C447="","",ROW()-1)</f>
        <v/>
      </c>
      <c r="B447" s="4" t="n"/>
      <c r="C447" s="4" t="n"/>
      <c r="D447" s="5" t="n"/>
      <c r="E447" s="5" t="n"/>
      <c r="F447" s="5" t="n"/>
      <c r="G447" s="5" t="n"/>
      <c r="H447" s="5" t="n"/>
      <c r="I447" s="5" t="n"/>
      <c r="J447" s="5" t="n"/>
      <c r="K447" s="6" t="n"/>
      <c r="L447" s="6" t="n"/>
      <c r="M447" s="6" t="n"/>
      <c r="N447" s="5" t="n"/>
      <c r="O447" s="21" t="n"/>
      <c r="P447" s="5" t="n"/>
      <c r="Q447" s="5" t="n"/>
      <c r="R447" s="6" t="n"/>
      <c r="S447" s="4" t="n"/>
      <c r="T447" s="4" t="n"/>
      <c r="U447" s="3">
        <f>IF(C447="","",IF(T447="",TODAY()-C447,T447-C447))</f>
        <v/>
      </c>
      <c r="V447" s="5" t="n"/>
      <c r="W447" s="6" t="n"/>
      <c r="X447" s="3">
        <f>IF(P447="","",IFERROR(VLOOKUP(P447,Parâmetros!$J$2:$K$5,2,FALSE),""))</f>
        <v/>
      </c>
      <c r="Y447" s="4">
        <f>IF(OR(C447="",X447=""),"",C447+X447)</f>
        <v/>
      </c>
      <c r="Z447" s="5">
        <f>IF(C447="","",IF(Q447="Concluído","Concluído",IF(Y447&lt;TODAY(),"Vencido",IF(Y447-TODAY()&lt;=2,"A vencer","No prazo"))))</f>
        <v/>
      </c>
      <c r="AA447" s="3">
        <f>IF(OR(Y447="",Q447="Concluído"),"",Y447-TODAY())</f>
        <v/>
      </c>
      <c r="AB447" s="5" t="n"/>
      <c r="AC447" s="5" t="n"/>
      <c r="AD447" s="4" t="n"/>
    </row>
    <row r="448">
      <c r="A448" s="3">
        <f>IF(C448="","",ROW()-1)</f>
        <v/>
      </c>
      <c r="B448" s="4" t="n"/>
      <c r="C448" s="4" t="n"/>
      <c r="D448" s="5" t="n"/>
      <c r="E448" s="5" t="n"/>
      <c r="F448" s="5" t="n"/>
      <c r="G448" s="5" t="n"/>
      <c r="H448" s="5" t="n"/>
      <c r="I448" s="5" t="n"/>
      <c r="J448" s="5" t="n"/>
      <c r="K448" s="6" t="n"/>
      <c r="L448" s="6" t="n"/>
      <c r="M448" s="6" t="n"/>
      <c r="N448" s="5" t="n"/>
      <c r="O448" s="21" t="n"/>
      <c r="P448" s="5" t="n"/>
      <c r="Q448" s="5" t="n"/>
      <c r="R448" s="6" t="n"/>
      <c r="S448" s="4" t="n"/>
      <c r="T448" s="4" t="n"/>
      <c r="U448" s="3">
        <f>IF(C448="","",IF(T448="",TODAY()-C448,T448-C448))</f>
        <v/>
      </c>
      <c r="V448" s="5" t="n"/>
      <c r="W448" s="6" t="n"/>
      <c r="X448" s="3">
        <f>IF(P448="","",IFERROR(VLOOKUP(P448,Parâmetros!$J$2:$K$5,2,FALSE),""))</f>
        <v/>
      </c>
      <c r="Y448" s="4">
        <f>IF(OR(C448="",X448=""),"",C448+X448)</f>
        <v/>
      </c>
      <c r="Z448" s="5">
        <f>IF(C448="","",IF(Q448="Concluído","Concluído",IF(Y448&lt;TODAY(),"Vencido",IF(Y448-TODAY()&lt;=2,"A vencer","No prazo"))))</f>
        <v/>
      </c>
      <c r="AA448" s="3">
        <f>IF(OR(Y448="",Q448="Concluído"),"",Y448-TODAY())</f>
        <v/>
      </c>
      <c r="AB448" s="5" t="n"/>
      <c r="AC448" s="5" t="n"/>
      <c r="AD448" s="4" t="n"/>
    </row>
    <row r="449">
      <c r="A449" s="3">
        <f>IF(C449="","",ROW()-1)</f>
        <v/>
      </c>
      <c r="B449" s="4" t="n"/>
      <c r="C449" s="4" t="n"/>
      <c r="D449" s="5" t="n"/>
      <c r="E449" s="5" t="n"/>
      <c r="F449" s="5" t="n"/>
      <c r="G449" s="5" t="n"/>
      <c r="H449" s="5" t="n"/>
      <c r="I449" s="5" t="n"/>
      <c r="J449" s="5" t="n"/>
      <c r="K449" s="6" t="n"/>
      <c r="L449" s="6" t="n"/>
      <c r="M449" s="6" t="n"/>
      <c r="N449" s="5" t="n"/>
      <c r="O449" s="21" t="n"/>
      <c r="P449" s="5" t="n"/>
      <c r="Q449" s="5" t="n"/>
      <c r="R449" s="6" t="n"/>
      <c r="S449" s="4" t="n"/>
      <c r="T449" s="4" t="n"/>
      <c r="U449" s="3">
        <f>IF(C449="","",IF(T449="",TODAY()-C449,T449-C449))</f>
        <v/>
      </c>
      <c r="V449" s="5" t="n"/>
      <c r="W449" s="6" t="n"/>
      <c r="X449" s="3">
        <f>IF(P449="","",IFERROR(VLOOKUP(P449,Parâmetros!$J$2:$K$5,2,FALSE),""))</f>
        <v/>
      </c>
      <c r="Y449" s="4">
        <f>IF(OR(C449="",X449=""),"",C449+X449)</f>
        <v/>
      </c>
      <c r="Z449" s="5">
        <f>IF(C449="","",IF(Q449="Concluído","Concluído",IF(Y449&lt;TODAY(),"Vencido",IF(Y449-TODAY()&lt;=2,"A vencer","No prazo"))))</f>
        <v/>
      </c>
      <c r="AA449" s="3">
        <f>IF(OR(Y449="",Q449="Concluído"),"",Y449-TODAY())</f>
        <v/>
      </c>
      <c r="AB449" s="5" t="n"/>
      <c r="AC449" s="5" t="n"/>
      <c r="AD449" s="4" t="n"/>
    </row>
    <row r="450">
      <c r="A450" s="3">
        <f>IF(C450="","",ROW()-1)</f>
        <v/>
      </c>
      <c r="B450" s="4" t="n"/>
      <c r="C450" s="4" t="n"/>
      <c r="D450" s="5" t="n"/>
      <c r="E450" s="5" t="n"/>
      <c r="F450" s="5" t="n"/>
      <c r="G450" s="5" t="n"/>
      <c r="H450" s="5" t="n"/>
      <c r="I450" s="5" t="n"/>
      <c r="J450" s="5" t="n"/>
      <c r="K450" s="6" t="n"/>
      <c r="L450" s="6" t="n"/>
      <c r="M450" s="6" t="n"/>
      <c r="N450" s="5" t="n"/>
      <c r="O450" s="21" t="n"/>
      <c r="P450" s="5" t="n"/>
      <c r="Q450" s="5" t="n"/>
      <c r="R450" s="6" t="n"/>
      <c r="S450" s="4" t="n"/>
      <c r="T450" s="4" t="n"/>
      <c r="U450" s="3">
        <f>IF(C450="","",IF(T450="",TODAY()-C450,T450-C450))</f>
        <v/>
      </c>
      <c r="V450" s="5" t="n"/>
      <c r="W450" s="6" t="n"/>
      <c r="X450" s="3">
        <f>IF(P450="","",IFERROR(VLOOKUP(P450,Parâmetros!$J$2:$K$5,2,FALSE),""))</f>
        <v/>
      </c>
      <c r="Y450" s="4">
        <f>IF(OR(C450="",X450=""),"",C450+X450)</f>
        <v/>
      </c>
      <c r="Z450" s="5">
        <f>IF(C450="","",IF(Q450="Concluído","Concluído",IF(Y450&lt;TODAY(),"Vencido",IF(Y450-TODAY()&lt;=2,"A vencer","No prazo"))))</f>
        <v/>
      </c>
      <c r="AA450" s="3">
        <f>IF(OR(Y450="",Q450="Concluído"),"",Y450-TODAY())</f>
        <v/>
      </c>
      <c r="AB450" s="5" t="n"/>
      <c r="AC450" s="5" t="n"/>
      <c r="AD450" s="4" t="n"/>
    </row>
    <row r="451">
      <c r="A451" s="3">
        <f>IF(C451="","",ROW()-1)</f>
        <v/>
      </c>
      <c r="B451" s="4" t="n"/>
      <c r="C451" s="4" t="n"/>
      <c r="D451" s="5" t="n"/>
      <c r="E451" s="5" t="n"/>
      <c r="F451" s="5" t="n"/>
      <c r="G451" s="5" t="n"/>
      <c r="H451" s="5" t="n"/>
      <c r="I451" s="5" t="n"/>
      <c r="J451" s="5" t="n"/>
      <c r="K451" s="6" t="n"/>
      <c r="L451" s="6" t="n"/>
      <c r="M451" s="6" t="n"/>
      <c r="N451" s="5" t="n"/>
      <c r="O451" s="21" t="n"/>
      <c r="P451" s="5" t="n"/>
      <c r="Q451" s="5" t="n"/>
      <c r="R451" s="6" t="n"/>
      <c r="S451" s="4" t="n"/>
      <c r="T451" s="4" t="n"/>
      <c r="U451" s="3">
        <f>IF(C451="","",IF(T451="",TODAY()-C451,T451-C451))</f>
        <v/>
      </c>
      <c r="V451" s="5" t="n"/>
      <c r="W451" s="6" t="n"/>
      <c r="X451" s="3">
        <f>IF(P451="","",IFERROR(VLOOKUP(P451,Parâmetros!$J$2:$K$5,2,FALSE),""))</f>
        <v/>
      </c>
      <c r="Y451" s="4">
        <f>IF(OR(C451="",X451=""),"",C451+X451)</f>
        <v/>
      </c>
      <c r="Z451" s="5">
        <f>IF(C451="","",IF(Q451="Concluído","Concluído",IF(Y451&lt;TODAY(),"Vencido",IF(Y451-TODAY()&lt;=2,"A vencer","No prazo"))))</f>
        <v/>
      </c>
      <c r="AA451" s="3">
        <f>IF(OR(Y451="",Q451="Concluído"),"",Y451-TODAY())</f>
        <v/>
      </c>
      <c r="AB451" s="5" t="n"/>
      <c r="AC451" s="5" t="n"/>
      <c r="AD451" s="4" t="n"/>
    </row>
    <row r="452">
      <c r="A452" s="3">
        <f>IF(C452="","",ROW()-1)</f>
        <v/>
      </c>
      <c r="B452" s="4" t="n"/>
      <c r="C452" s="4" t="n"/>
      <c r="D452" s="5" t="n"/>
      <c r="E452" s="5" t="n"/>
      <c r="F452" s="5" t="n"/>
      <c r="G452" s="5" t="n"/>
      <c r="H452" s="5" t="n"/>
      <c r="I452" s="5" t="n"/>
      <c r="J452" s="5" t="n"/>
      <c r="K452" s="6" t="n"/>
      <c r="L452" s="6" t="n"/>
      <c r="M452" s="6" t="n"/>
      <c r="N452" s="5" t="n"/>
      <c r="O452" s="21" t="n"/>
      <c r="P452" s="5" t="n"/>
      <c r="Q452" s="5" t="n"/>
      <c r="R452" s="6" t="n"/>
      <c r="S452" s="4" t="n"/>
      <c r="T452" s="4" t="n"/>
      <c r="U452" s="3">
        <f>IF(C452="","",IF(T452="",TODAY()-C452,T452-C452))</f>
        <v/>
      </c>
      <c r="V452" s="5" t="n"/>
      <c r="W452" s="6" t="n"/>
      <c r="X452" s="3">
        <f>IF(P452="","",IFERROR(VLOOKUP(P452,Parâmetros!$J$2:$K$5,2,FALSE),""))</f>
        <v/>
      </c>
      <c r="Y452" s="4">
        <f>IF(OR(C452="",X452=""),"",C452+X452)</f>
        <v/>
      </c>
      <c r="Z452" s="5">
        <f>IF(C452="","",IF(Q452="Concluído","Concluído",IF(Y452&lt;TODAY(),"Vencido",IF(Y452-TODAY()&lt;=2,"A vencer","No prazo"))))</f>
        <v/>
      </c>
      <c r="AA452" s="3">
        <f>IF(OR(Y452="",Q452="Concluído"),"",Y452-TODAY())</f>
        <v/>
      </c>
      <c r="AB452" s="5" t="n"/>
      <c r="AC452" s="5" t="n"/>
      <c r="AD452" s="4" t="n"/>
    </row>
    <row r="453">
      <c r="A453" s="3">
        <f>IF(C453="","",ROW()-1)</f>
        <v/>
      </c>
      <c r="B453" s="4" t="n"/>
      <c r="C453" s="4" t="n"/>
      <c r="D453" s="5" t="n"/>
      <c r="E453" s="5" t="n"/>
      <c r="F453" s="5" t="n"/>
      <c r="G453" s="5" t="n"/>
      <c r="H453" s="5" t="n"/>
      <c r="I453" s="5" t="n"/>
      <c r="J453" s="5" t="n"/>
      <c r="K453" s="6" t="n"/>
      <c r="L453" s="6" t="n"/>
      <c r="M453" s="6" t="n"/>
      <c r="N453" s="5" t="n"/>
      <c r="O453" s="21" t="n"/>
      <c r="P453" s="5" t="n"/>
      <c r="Q453" s="5" t="n"/>
      <c r="R453" s="6" t="n"/>
      <c r="S453" s="4" t="n"/>
      <c r="T453" s="4" t="n"/>
      <c r="U453" s="3">
        <f>IF(C453="","",IF(T453="",TODAY()-C453,T453-C453))</f>
        <v/>
      </c>
      <c r="V453" s="5" t="n"/>
      <c r="W453" s="6" t="n"/>
      <c r="X453" s="3">
        <f>IF(P453="","",IFERROR(VLOOKUP(P453,Parâmetros!$J$2:$K$5,2,FALSE),""))</f>
        <v/>
      </c>
      <c r="Y453" s="4">
        <f>IF(OR(C453="",X453=""),"",C453+X453)</f>
        <v/>
      </c>
      <c r="Z453" s="5">
        <f>IF(C453="","",IF(Q453="Concluído","Concluído",IF(Y453&lt;TODAY(),"Vencido",IF(Y453-TODAY()&lt;=2,"A vencer","No prazo"))))</f>
        <v/>
      </c>
      <c r="AA453" s="3">
        <f>IF(OR(Y453="",Q453="Concluído"),"",Y453-TODAY())</f>
        <v/>
      </c>
      <c r="AB453" s="5" t="n"/>
      <c r="AC453" s="5" t="n"/>
      <c r="AD453" s="4" t="n"/>
    </row>
    <row r="454">
      <c r="A454" s="3">
        <f>IF(C454="","",ROW()-1)</f>
        <v/>
      </c>
      <c r="B454" s="4" t="n"/>
      <c r="C454" s="4" t="n"/>
      <c r="D454" s="5" t="n"/>
      <c r="E454" s="5" t="n"/>
      <c r="F454" s="5" t="n"/>
      <c r="G454" s="5" t="n"/>
      <c r="H454" s="5" t="n"/>
      <c r="I454" s="5" t="n"/>
      <c r="J454" s="5" t="n"/>
      <c r="K454" s="6" t="n"/>
      <c r="L454" s="6" t="n"/>
      <c r="M454" s="6" t="n"/>
      <c r="N454" s="5" t="n"/>
      <c r="O454" s="21" t="n"/>
      <c r="P454" s="5" t="n"/>
      <c r="Q454" s="5" t="n"/>
      <c r="R454" s="6" t="n"/>
      <c r="S454" s="4" t="n"/>
      <c r="T454" s="4" t="n"/>
      <c r="U454" s="3">
        <f>IF(C454="","",IF(T454="",TODAY()-C454,T454-C454))</f>
        <v/>
      </c>
      <c r="V454" s="5" t="n"/>
      <c r="W454" s="6" t="n"/>
      <c r="X454" s="3">
        <f>IF(P454="","",IFERROR(VLOOKUP(P454,Parâmetros!$J$2:$K$5,2,FALSE),""))</f>
        <v/>
      </c>
      <c r="Y454" s="4">
        <f>IF(OR(C454="",X454=""),"",C454+X454)</f>
        <v/>
      </c>
      <c r="Z454" s="5">
        <f>IF(C454="","",IF(Q454="Concluído","Concluído",IF(Y454&lt;TODAY(),"Vencido",IF(Y454-TODAY()&lt;=2,"A vencer","No prazo"))))</f>
        <v/>
      </c>
      <c r="AA454" s="3">
        <f>IF(OR(Y454="",Q454="Concluído"),"",Y454-TODAY())</f>
        <v/>
      </c>
      <c r="AB454" s="5" t="n"/>
      <c r="AC454" s="5" t="n"/>
      <c r="AD454" s="4" t="n"/>
    </row>
    <row r="455">
      <c r="A455" s="3">
        <f>IF(C455="","",ROW()-1)</f>
        <v/>
      </c>
      <c r="B455" s="4" t="n"/>
      <c r="C455" s="4" t="n"/>
      <c r="D455" s="5" t="n"/>
      <c r="E455" s="5" t="n"/>
      <c r="F455" s="5" t="n"/>
      <c r="G455" s="5" t="n"/>
      <c r="H455" s="5" t="n"/>
      <c r="I455" s="5" t="n"/>
      <c r="J455" s="5" t="n"/>
      <c r="K455" s="6" t="n"/>
      <c r="L455" s="6" t="n"/>
      <c r="M455" s="6" t="n"/>
      <c r="N455" s="5" t="n"/>
      <c r="O455" s="21" t="n"/>
      <c r="P455" s="5" t="n"/>
      <c r="Q455" s="5" t="n"/>
      <c r="R455" s="6" t="n"/>
      <c r="S455" s="4" t="n"/>
      <c r="T455" s="4" t="n"/>
      <c r="U455" s="3">
        <f>IF(C455="","",IF(T455="",TODAY()-C455,T455-C455))</f>
        <v/>
      </c>
      <c r="V455" s="5" t="n"/>
      <c r="W455" s="6" t="n"/>
      <c r="X455" s="3">
        <f>IF(P455="","",IFERROR(VLOOKUP(P455,Parâmetros!$J$2:$K$5,2,FALSE),""))</f>
        <v/>
      </c>
      <c r="Y455" s="4">
        <f>IF(OR(C455="",X455=""),"",C455+X455)</f>
        <v/>
      </c>
      <c r="Z455" s="5">
        <f>IF(C455="","",IF(Q455="Concluído","Concluído",IF(Y455&lt;TODAY(),"Vencido",IF(Y455-TODAY()&lt;=2,"A vencer","No prazo"))))</f>
        <v/>
      </c>
      <c r="AA455" s="3">
        <f>IF(OR(Y455="",Q455="Concluído"),"",Y455-TODAY())</f>
        <v/>
      </c>
      <c r="AB455" s="5" t="n"/>
      <c r="AC455" s="5" t="n"/>
      <c r="AD455" s="4" t="n"/>
    </row>
    <row r="456">
      <c r="A456" s="3">
        <f>IF(C456="","",ROW()-1)</f>
        <v/>
      </c>
      <c r="B456" s="4" t="n"/>
      <c r="C456" s="4" t="n"/>
      <c r="D456" s="5" t="n"/>
      <c r="E456" s="5" t="n"/>
      <c r="F456" s="5" t="n"/>
      <c r="G456" s="5" t="n"/>
      <c r="H456" s="5" t="n"/>
      <c r="I456" s="5" t="n"/>
      <c r="J456" s="5" t="n"/>
      <c r="K456" s="6" t="n"/>
      <c r="L456" s="6" t="n"/>
      <c r="M456" s="6" t="n"/>
      <c r="N456" s="5" t="n"/>
      <c r="O456" s="21" t="n"/>
      <c r="P456" s="5" t="n"/>
      <c r="Q456" s="5" t="n"/>
      <c r="R456" s="6" t="n"/>
      <c r="S456" s="4" t="n"/>
      <c r="T456" s="4" t="n"/>
      <c r="U456" s="3">
        <f>IF(C456="","",IF(T456="",TODAY()-C456,T456-C456))</f>
        <v/>
      </c>
      <c r="V456" s="5" t="n"/>
      <c r="W456" s="6" t="n"/>
      <c r="X456" s="3">
        <f>IF(P456="","",IFERROR(VLOOKUP(P456,Parâmetros!$J$2:$K$5,2,FALSE),""))</f>
        <v/>
      </c>
      <c r="Y456" s="4">
        <f>IF(OR(C456="",X456=""),"",C456+X456)</f>
        <v/>
      </c>
      <c r="Z456" s="5">
        <f>IF(C456="","",IF(Q456="Concluído","Concluído",IF(Y456&lt;TODAY(),"Vencido",IF(Y456-TODAY()&lt;=2,"A vencer","No prazo"))))</f>
        <v/>
      </c>
      <c r="AA456" s="3">
        <f>IF(OR(Y456="",Q456="Concluído"),"",Y456-TODAY())</f>
        <v/>
      </c>
      <c r="AB456" s="5" t="n"/>
      <c r="AC456" s="5" t="n"/>
      <c r="AD456" s="4" t="n"/>
    </row>
    <row r="457">
      <c r="A457" s="3">
        <f>IF(C457="","",ROW()-1)</f>
        <v/>
      </c>
      <c r="B457" s="4" t="n"/>
      <c r="C457" s="4" t="n"/>
      <c r="D457" s="5" t="n"/>
      <c r="E457" s="5" t="n"/>
      <c r="F457" s="5" t="n"/>
      <c r="G457" s="5" t="n"/>
      <c r="H457" s="5" t="n"/>
      <c r="I457" s="5" t="n"/>
      <c r="J457" s="5" t="n"/>
      <c r="K457" s="6" t="n"/>
      <c r="L457" s="6" t="n"/>
      <c r="M457" s="6" t="n"/>
      <c r="N457" s="5" t="n"/>
      <c r="O457" s="21" t="n"/>
      <c r="P457" s="5" t="n"/>
      <c r="Q457" s="5" t="n"/>
      <c r="R457" s="6" t="n"/>
      <c r="S457" s="4" t="n"/>
      <c r="T457" s="4" t="n"/>
      <c r="U457" s="3">
        <f>IF(C457="","",IF(T457="",TODAY()-C457,T457-C457))</f>
        <v/>
      </c>
      <c r="V457" s="5" t="n"/>
      <c r="W457" s="6" t="n"/>
      <c r="X457" s="3">
        <f>IF(P457="","",IFERROR(VLOOKUP(P457,Parâmetros!$J$2:$K$5,2,FALSE),""))</f>
        <v/>
      </c>
      <c r="Y457" s="4">
        <f>IF(OR(C457="",X457=""),"",C457+X457)</f>
        <v/>
      </c>
      <c r="Z457" s="5">
        <f>IF(C457="","",IF(Q457="Concluído","Concluído",IF(Y457&lt;TODAY(),"Vencido",IF(Y457-TODAY()&lt;=2,"A vencer","No prazo"))))</f>
        <v/>
      </c>
      <c r="AA457" s="3">
        <f>IF(OR(Y457="",Q457="Concluído"),"",Y457-TODAY())</f>
        <v/>
      </c>
      <c r="AB457" s="5" t="n"/>
      <c r="AC457" s="5" t="n"/>
      <c r="AD457" s="4" t="n"/>
    </row>
    <row r="458">
      <c r="A458" s="3">
        <f>IF(C458="","",ROW()-1)</f>
        <v/>
      </c>
      <c r="B458" s="4" t="n"/>
      <c r="C458" s="4" t="n"/>
      <c r="D458" s="5" t="n"/>
      <c r="E458" s="5" t="n"/>
      <c r="F458" s="5" t="n"/>
      <c r="G458" s="5" t="n"/>
      <c r="H458" s="5" t="n"/>
      <c r="I458" s="5" t="n"/>
      <c r="J458" s="5" t="n"/>
      <c r="K458" s="6" t="n"/>
      <c r="L458" s="6" t="n"/>
      <c r="M458" s="6" t="n"/>
      <c r="N458" s="5" t="n"/>
      <c r="O458" s="21" t="n"/>
      <c r="P458" s="5" t="n"/>
      <c r="Q458" s="5" t="n"/>
      <c r="R458" s="6" t="n"/>
      <c r="S458" s="4" t="n"/>
      <c r="T458" s="4" t="n"/>
      <c r="U458" s="3">
        <f>IF(C458="","",IF(T458="",TODAY()-C458,T458-C458))</f>
        <v/>
      </c>
      <c r="V458" s="5" t="n"/>
      <c r="W458" s="6" t="n"/>
      <c r="X458" s="3">
        <f>IF(P458="","",IFERROR(VLOOKUP(P458,Parâmetros!$J$2:$K$5,2,FALSE),""))</f>
        <v/>
      </c>
      <c r="Y458" s="4">
        <f>IF(OR(C458="",X458=""),"",C458+X458)</f>
        <v/>
      </c>
      <c r="Z458" s="5">
        <f>IF(C458="","",IF(Q458="Concluído","Concluído",IF(Y458&lt;TODAY(),"Vencido",IF(Y458-TODAY()&lt;=2,"A vencer","No prazo"))))</f>
        <v/>
      </c>
      <c r="AA458" s="3">
        <f>IF(OR(Y458="",Q458="Concluído"),"",Y458-TODAY())</f>
        <v/>
      </c>
      <c r="AB458" s="5" t="n"/>
      <c r="AC458" s="5" t="n"/>
      <c r="AD458" s="4" t="n"/>
    </row>
    <row r="459">
      <c r="A459" s="3">
        <f>IF(C459="","",ROW()-1)</f>
        <v/>
      </c>
      <c r="B459" s="4" t="n"/>
      <c r="C459" s="4" t="n"/>
      <c r="D459" s="5" t="n"/>
      <c r="E459" s="5" t="n"/>
      <c r="F459" s="5" t="n"/>
      <c r="G459" s="5" t="n"/>
      <c r="H459" s="5" t="n"/>
      <c r="I459" s="5" t="n"/>
      <c r="J459" s="5" t="n"/>
      <c r="K459" s="6" t="n"/>
      <c r="L459" s="6" t="n"/>
      <c r="M459" s="6" t="n"/>
      <c r="N459" s="5" t="n"/>
      <c r="O459" s="21" t="n"/>
      <c r="P459" s="5" t="n"/>
      <c r="Q459" s="5" t="n"/>
      <c r="R459" s="6" t="n"/>
      <c r="S459" s="4" t="n"/>
      <c r="T459" s="4" t="n"/>
      <c r="U459" s="3">
        <f>IF(C459="","",IF(T459="",TODAY()-C459,T459-C459))</f>
        <v/>
      </c>
      <c r="V459" s="5" t="n"/>
      <c r="W459" s="6" t="n"/>
      <c r="X459" s="3">
        <f>IF(P459="","",IFERROR(VLOOKUP(P459,Parâmetros!$J$2:$K$5,2,FALSE),""))</f>
        <v/>
      </c>
      <c r="Y459" s="4">
        <f>IF(OR(C459="",X459=""),"",C459+X459)</f>
        <v/>
      </c>
      <c r="Z459" s="5">
        <f>IF(C459="","",IF(Q459="Concluído","Concluído",IF(Y459&lt;TODAY(),"Vencido",IF(Y459-TODAY()&lt;=2,"A vencer","No prazo"))))</f>
        <v/>
      </c>
      <c r="AA459" s="3">
        <f>IF(OR(Y459="",Q459="Concluído"),"",Y459-TODAY())</f>
        <v/>
      </c>
      <c r="AB459" s="5" t="n"/>
      <c r="AC459" s="5" t="n"/>
      <c r="AD459" s="4" t="n"/>
    </row>
    <row r="460">
      <c r="A460" s="3">
        <f>IF(C460="","",ROW()-1)</f>
        <v/>
      </c>
      <c r="B460" s="4" t="n"/>
      <c r="C460" s="4" t="n"/>
      <c r="D460" s="5" t="n"/>
      <c r="E460" s="5" t="n"/>
      <c r="F460" s="5" t="n"/>
      <c r="G460" s="5" t="n"/>
      <c r="H460" s="5" t="n"/>
      <c r="I460" s="5" t="n"/>
      <c r="J460" s="5" t="n"/>
      <c r="K460" s="6" t="n"/>
      <c r="L460" s="6" t="n"/>
      <c r="M460" s="6" t="n"/>
      <c r="N460" s="5" t="n"/>
      <c r="O460" s="21" t="n"/>
      <c r="P460" s="5" t="n"/>
      <c r="Q460" s="5" t="n"/>
      <c r="R460" s="6" t="n"/>
      <c r="S460" s="4" t="n"/>
      <c r="T460" s="4" t="n"/>
      <c r="U460" s="3">
        <f>IF(C460="","",IF(T460="",TODAY()-C460,T460-C460))</f>
        <v/>
      </c>
      <c r="V460" s="5" t="n"/>
      <c r="W460" s="6" t="n"/>
      <c r="X460" s="3">
        <f>IF(P460="","",IFERROR(VLOOKUP(P460,Parâmetros!$J$2:$K$5,2,FALSE),""))</f>
        <v/>
      </c>
      <c r="Y460" s="4">
        <f>IF(OR(C460="",X460=""),"",C460+X460)</f>
        <v/>
      </c>
      <c r="Z460" s="5">
        <f>IF(C460="","",IF(Q460="Concluído","Concluído",IF(Y460&lt;TODAY(),"Vencido",IF(Y460-TODAY()&lt;=2,"A vencer","No prazo"))))</f>
        <v/>
      </c>
      <c r="AA460" s="3">
        <f>IF(OR(Y460="",Q460="Concluído"),"",Y460-TODAY())</f>
        <v/>
      </c>
      <c r="AB460" s="5" t="n"/>
      <c r="AC460" s="5" t="n"/>
      <c r="AD460" s="4" t="n"/>
    </row>
    <row r="461">
      <c r="A461" s="3">
        <f>IF(C461="","",ROW()-1)</f>
        <v/>
      </c>
      <c r="B461" s="4" t="n"/>
      <c r="C461" s="4" t="n"/>
      <c r="D461" s="5" t="n"/>
      <c r="E461" s="5" t="n"/>
      <c r="F461" s="5" t="n"/>
      <c r="G461" s="5" t="n"/>
      <c r="H461" s="5" t="n"/>
      <c r="I461" s="5" t="n"/>
      <c r="J461" s="5" t="n"/>
      <c r="K461" s="6" t="n"/>
      <c r="L461" s="6" t="n"/>
      <c r="M461" s="6" t="n"/>
      <c r="N461" s="5" t="n"/>
      <c r="O461" s="21" t="n"/>
      <c r="P461" s="5" t="n"/>
      <c r="Q461" s="5" t="n"/>
      <c r="R461" s="6" t="n"/>
      <c r="S461" s="4" t="n"/>
      <c r="T461" s="4" t="n"/>
      <c r="U461" s="3">
        <f>IF(C461="","",IF(T461="",TODAY()-C461,T461-C461))</f>
        <v/>
      </c>
      <c r="V461" s="5" t="n"/>
      <c r="W461" s="6" t="n"/>
      <c r="X461" s="3">
        <f>IF(P461="","",IFERROR(VLOOKUP(P461,Parâmetros!$J$2:$K$5,2,FALSE),""))</f>
        <v/>
      </c>
      <c r="Y461" s="4">
        <f>IF(OR(C461="",X461=""),"",C461+X461)</f>
        <v/>
      </c>
      <c r="Z461" s="5">
        <f>IF(C461="","",IF(Q461="Concluído","Concluído",IF(Y461&lt;TODAY(),"Vencido",IF(Y461-TODAY()&lt;=2,"A vencer","No prazo"))))</f>
        <v/>
      </c>
      <c r="AA461" s="3">
        <f>IF(OR(Y461="",Q461="Concluído"),"",Y461-TODAY())</f>
        <v/>
      </c>
      <c r="AB461" s="5" t="n"/>
      <c r="AC461" s="5" t="n"/>
      <c r="AD461" s="4" t="n"/>
    </row>
    <row r="462">
      <c r="A462" s="3">
        <f>IF(C462="","",ROW()-1)</f>
        <v/>
      </c>
      <c r="B462" s="4" t="n"/>
      <c r="C462" s="4" t="n"/>
      <c r="D462" s="5" t="n"/>
      <c r="E462" s="5" t="n"/>
      <c r="F462" s="5" t="n"/>
      <c r="G462" s="5" t="n"/>
      <c r="H462" s="5" t="n"/>
      <c r="I462" s="5" t="n"/>
      <c r="J462" s="5" t="n"/>
      <c r="K462" s="6" t="n"/>
      <c r="L462" s="6" t="n"/>
      <c r="M462" s="6" t="n"/>
      <c r="N462" s="5" t="n"/>
      <c r="O462" s="21" t="n"/>
      <c r="P462" s="5" t="n"/>
      <c r="Q462" s="5" t="n"/>
      <c r="R462" s="6" t="n"/>
      <c r="S462" s="4" t="n"/>
      <c r="T462" s="4" t="n"/>
      <c r="U462" s="3">
        <f>IF(C462="","",IF(T462="",TODAY()-C462,T462-C462))</f>
        <v/>
      </c>
      <c r="V462" s="5" t="n"/>
      <c r="W462" s="6" t="n"/>
      <c r="X462" s="3">
        <f>IF(P462="","",IFERROR(VLOOKUP(P462,Parâmetros!$J$2:$K$5,2,FALSE),""))</f>
        <v/>
      </c>
      <c r="Y462" s="4">
        <f>IF(OR(C462="",X462=""),"",C462+X462)</f>
        <v/>
      </c>
      <c r="Z462" s="5">
        <f>IF(C462="","",IF(Q462="Concluído","Concluído",IF(Y462&lt;TODAY(),"Vencido",IF(Y462-TODAY()&lt;=2,"A vencer","No prazo"))))</f>
        <v/>
      </c>
      <c r="AA462" s="3">
        <f>IF(OR(Y462="",Q462="Concluído"),"",Y462-TODAY())</f>
        <v/>
      </c>
      <c r="AB462" s="5" t="n"/>
      <c r="AC462" s="5" t="n"/>
      <c r="AD462" s="4" t="n"/>
    </row>
    <row r="463">
      <c r="A463" s="3">
        <f>IF(C463="","",ROW()-1)</f>
        <v/>
      </c>
      <c r="B463" s="4" t="n"/>
      <c r="C463" s="4" t="n"/>
      <c r="D463" s="5" t="n"/>
      <c r="E463" s="5" t="n"/>
      <c r="F463" s="5" t="n"/>
      <c r="G463" s="5" t="n"/>
      <c r="H463" s="5" t="n"/>
      <c r="I463" s="5" t="n"/>
      <c r="J463" s="5" t="n"/>
      <c r="K463" s="6" t="n"/>
      <c r="L463" s="6" t="n"/>
      <c r="M463" s="6" t="n"/>
      <c r="N463" s="5" t="n"/>
      <c r="O463" s="21" t="n"/>
      <c r="P463" s="5" t="n"/>
      <c r="Q463" s="5" t="n"/>
      <c r="R463" s="6" t="n"/>
      <c r="S463" s="4" t="n"/>
      <c r="T463" s="4" t="n"/>
      <c r="U463" s="3">
        <f>IF(C463="","",IF(T463="",TODAY()-C463,T463-C463))</f>
        <v/>
      </c>
      <c r="V463" s="5" t="n"/>
      <c r="W463" s="6" t="n"/>
      <c r="X463" s="3">
        <f>IF(P463="","",IFERROR(VLOOKUP(P463,Parâmetros!$J$2:$K$5,2,FALSE),""))</f>
        <v/>
      </c>
      <c r="Y463" s="4">
        <f>IF(OR(C463="",X463=""),"",C463+X463)</f>
        <v/>
      </c>
      <c r="Z463" s="5">
        <f>IF(C463="","",IF(Q463="Concluído","Concluído",IF(Y463&lt;TODAY(),"Vencido",IF(Y463-TODAY()&lt;=2,"A vencer","No prazo"))))</f>
        <v/>
      </c>
      <c r="AA463" s="3">
        <f>IF(OR(Y463="",Q463="Concluído"),"",Y463-TODAY())</f>
        <v/>
      </c>
      <c r="AB463" s="5" t="n"/>
      <c r="AC463" s="5" t="n"/>
      <c r="AD463" s="4" t="n"/>
    </row>
    <row r="464">
      <c r="A464" s="3">
        <f>IF(C464="","",ROW()-1)</f>
        <v/>
      </c>
      <c r="B464" s="4" t="n"/>
      <c r="C464" s="4" t="n"/>
      <c r="D464" s="5" t="n"/>
      <c r="E464" s="5" t="n"/>
      <c r="F464" s="5" t="n"/>
      <c r="G464" s="5" t="n"/>
      <c r="H464" s="5" t="n"/>
      <c r="I464" s="5" t="n"/>
      <c r="J464" s="5" t="n"/>
      <c r="K464" s="6" t="n"/>
      <c r="L464" s="6" t="n"/>
      <c r="M464" s="6" t="n"/>
      <c r="N464" s="5" t="n"/>
      <c r="O464" s="21" t="n"/>
      <c r="P464" s="5" t="n"/>
      <c r="Q464" s="5" t="n"/>
      <c r="R464" s="6" t="n"/>
      <c r="S464" s="4" t="n"/>
      <c r="T464" s="4" t="n"/>
      <c r="U464" s="3">
        <f>IF(C464="","",IF(T464="",TODAY()-C464,T464-C464))</f>
        <v/>
      </c>
      <c r="V464" s="5" t="n"/>
      <c r="W464" s="6" t="n"/>
      <c r="X464" s="3">
        <f>IF(P464="","",IFERROR(VLOOKUP(P464,Parâmetros!$J$2:$K$5,2,FALSE),""))</f>
        <v/>
      </c>
      <c r="Y464" s="4">
        <f>IF(OR(C464="",X464=""),"",C464+X464)</f>
        <v/>
      </c>
      <c r="Z464" s="5">
        <f>IF(C464="","",IF(Q464="Concluído","Concluído",IF(Y464&lt;TODAY(),"Vencido",IF(Y464-TODAY()&lt;=2,"A vencer","No prazo"))))</f>
        <v/>
      </c>
      <c r="AA464" s="3">
        <f>IF(OR(Y464="",Q464="Concluído"),"",Y464-TODAY())</f>
        <v/>
      </c>
      <c r="AB464" s="5" t="n"/>
      <c r="AC464" s="5" t="n"/>
      <c r="AD464" s="4" t="n"/>
    </row>
    <row r="465">
      <c r="A465" s="3">
        <f>IF(C465="","",ROW()-1)</f>
        <v/>
      </c>
      <c r="B465" s="4" t="n"/>
      <c r="C465" s="4" t="n"/>
      <c r="D465" s="5" t="n"/>
      <c r="E465" s="5" t="n"/>
      <c r="F465" s="5" t="n"/>
      <c r="G465" s="5" t="n"/>
      <c r="H465" s="5" t="n"/>
      <c r="I465" s="5" t="n"/>
      <c r="J465" s="5" t="n"/>
      <c r="K465" s="6" t="n"/>
      <c r="L465" s="6" t="n"/>
      <c r="M465" s="6" t="n"/>
      <c r="N465" s="5" t="n"/>
      <c r="O465" s="21" t="n"/>
      <c r="P465" s="5" t="n"/>
      <c r="Q465" s="5" t="n"/>
      <c r="R465" s="6" t="n"/>
      <c r="S465" s="4" t="n"/>
      <c r="T465" s="4" t="n"/>
      <c r="U465" s="3">
        <f>IF(C465="","",IF(T465="",TODAY()-C465,T465-C465))</f>
        <v/>
      </c>
      <c r="V465" s="5" t="n"/>
      <c r="W465" s="6" t="n"/>
      <c r="X465" s="3">
        <f>IF(P465="","",IFERROR(VLOOKUP(P465,Parâmetros!$J$2:$K$5,2,FALSE),""))</f>
        <v/>
      </c>
      <c r="Y465" s="4">
        <f>IF(OR(C465="",X465=""),"",C465+X465)</f>
        <v/>
      </c>
      <c r="Z465" s="5">
        <f>IF(C465="","",IF(Q465="Concluído","Concluído",IF(Y465&lt;TODAY(),"Vencido",IF(Y465-TODAY()&lt;=2,"A vencer","No prazo"))))</f>
        <v/>
      </c>
      <c r="AA465" s="3">
        <f>IF(OR(Y465="",Q465="Concluído"),"",Y465-TODAY())</f>
        <v/>
      </c>
      <c r="AB465" s="5" t="n"/>
      <c r="AC465" s="5" t="n"/>
      <c r="AD465" s="4" t="n"/>
    </row>
    <row r="466">
      <c r="A466" s="3">
        <f>IF(C466="","",ROW()-1)</f>
        <v/>
      </c>
      <c r="B466" s="4" t="n"/>
      <c r="C466" s="4" t="n"/>
      <c r="D466" s="5" t="n"/>
      <c r="E466" s="5" t="n"/>
      <c r="F466" s="5" t="n"/>
      <c r="G466" s="5" t="n"/>
      <c r="H466" s="5" t="n"/>
      <c r="I466" s="5" t="n"/>
      <c r="J466" s="5" t="n"/>
      <c r="K466" s="6" t="n"/>
      <c r="L466" s="6" t="n"/>
      <c r="M466" s="6" t="n"/>
      <c r="N466" s="5" t="n"/>
      <c r="O466" s="21" t="n"/>
      <c r="P466" s="5" t="n"/>
      <c r="Q466" s="5" t="n"/>
      <c r="R466" s="6" t="n"/>
      <c r="S466" s="4" t="n"/>
      <c r="T466" s="4" t="n"/>
      <c r="U466" s="3">
        <f>IF(C466="","",IF(T466="",TODAY()-C466,T466-C466))</f>
        <v/>
      </c>
      <c r="V466" s="5" t="n"/>
      <c r="W466" s="6" t="n"/>
      <c r="X466" s="3">
        <f>IF(P466="","",IFERROR(VLOOKUP(P466,Parâmetros!$J$2:$K$5,2,FALSE),""))</f>
        <v/>
      </c>
      <c r="Y466" s="4">
        <f>IF(OR(C466="",X466=""),"",C466+X466)</f>
        <v/>
      </c>
      <c r="Z466" s="5">
        <f>IF(C466="","",IF(Q466="Concluído","Concluído",IF(Y466&lt;TODAY(),"Vencido",IF(Y466-TODAY()&lt;=2,"A vencer","No prazo"))))</f>
        <v/>
      </c>
      <c r="AA466" s="3">
        <f>IF(OR(Y466="",Q466="Concluído"),"",Y466-TODAY())</f>
        <v/>
      </c>
      <c r="AB466" s="5" t="n"/>
      <c r="AC466" s="5" t="n"/>
      <c r="AD466" s="4" t="n"/>
    </row>
    <row r="467">
      <c r="A467" s="3">
        <f>IF(C467="","",ROW()-1)</f>
        <v/>
      </c>
      <c r="B467" s="4" t="n"/>
      <c r="C467" s="4" t="n"/>
      <c r="D467" s="5" t="n"/>
      <c r="E467" s="5" t="n"/>
      <c r="F467" s="5" t="n"/>
      <c r="G467" s="5" t="n"/>
      <c r="H467" s="5" t="n"/>
      <c r="I467" s="5" t="n"/>
      <c r="J467" s="5" t="n"/>
      <c r="K467" s="6" t="n"/>
      <c r="L467" s="6" t="n"/>
      <c r="M467" s="6" t="n"/>
      <c r="N467" s="5" t="n"/>
      <c r="O467" s="21" t="n"/>
      <c r="P467" s="5" t="n"/>
      <c r="Q467" s="5" t="n"/>
      <c r="R467" s="6" t="n"/>
      <c r="S467" s="4" t="n"/>
      <c r="T467" s="4" t="n"/>
      <c r="U467" s="3">
        <f>IF(C467="","",IF(T467="",TODAY()-C467,T467-C467))</f>
        <v/>
      </c>
      <c r="V467" s="5" t="n"/>
      <c r="W467" s="6" t="n"/>
      <c r="X467" s="3">
        <f>IF(P467="","",IFERROR(VLOOKUP(P467,Parâmetros!$J$2:$K$5,2,FALSE),""))</f>
        <v/>
      </c>
      <c r="Y467" s="4">
        <f>IF(OR(C467="",X467=""),"",C467+X467)</f>
        <v/>
      </c>
      <c r="Z467" s="5">
        <f>IF(C467="","",IF(Q467="Concluído","Concluído",IF(Y467&lt;TODAY(),"Vencido",IF(Y467-TODAY()&lt;=2,"A vencer","No prazo"))))</f>
        <v/>
      </c>
      <c r="AA467" s="3">
        <f>IF(OR(Y467="",Q467="Concluído"),"",Y467-TODAY())</f>
        <v/>
      </c>
      <c r="AB467" s="5" t="n"/>
      <c r="AC467" s="5" t="n"/>
      <c r="AD467" s="4" t="n"/>
    </row>
    <row r="468">
      <c r="A468" s="3">
        <f>IF(C468="","",ROW()-1)</f>
        <v/>
      </c>
      <c r="B468" s="4" t="n"/>
      <c r="C468" s="4" t="n"/>
      <c r="D468" s="5" t="n"/>
      <c r="E468" s="5" t="n"/>
      <c r="F468" s="5" t="n"/>
      <c r="G468" s="5" t="n"/>
      <c r="H468" s="5" t="n"/>
      <c r="I468" s="5" t="n"/>
      <c r="J468" s="5" t="n"/>
      <c r="K468" s="6" t="n"/>
      <c r="L468" s="6" t="n"/>
      <c r="M468" s="6" t="n"/>
      <c r="N468" s="5" t="n"/>
      <c r="O468" s="21" t="n"/>
      <c r="P468" s="5" t="n"/>
      <c r="Q468" s="5" t="n"/>
      <c r="R468" s="6" t="n"/>
      <c r="S468" s="4" t="n"/>
      <c r="T468" s="4" t="n"/>
      <c r="U468" s="3">
        <f>IF(C468="","",IF(T468="",TODAY()-C468,T468-C468))</f>
        <v/>
      </c>
      <c r="V468" s="5" t="n"/>
      <c r="W468" s="6" t="n"/>
      <c r="X468" s="3">
        <f>IF(P468="","",IFERROR(VLOOKUP(P468,Parâmetros!$J$2:$K$5,2,FALSE),""))</f>
        <v/>
      </c>
      <c r="Y468" s="4">
        <f>IF(OR(C468="",X468=""),"",C468+X468)</f>
        <v/>
      </c>
      <c r="Z468" s="5">
        <f>IF(C468="","",IF(Q468="Concluído","Concluído",IF(Y468&lt;TODAY(),"Vencido",IF(Y468-TODAY()&lt;=2,"A vencer","No prazo"))))</f>
        <v/>
      </c>
      <c r="AA468" s="3">
        <f>IF(OR(Y468="",Q468="Concluído"),"",Y468-TODAY())</f>
        <v/>
      </c>
      <c r="AB468" s="5" t="n"/>
      <c r="AC468" s="5" t="n"/>
      <c r="AD468" s="4" t="n"/>
    </row>
    <row r="469">
      <c r="A469" s="3">
        <f>IF(C469="","",ROW()-1)</f>
        <v/>
      </c>
      <c r="B469" s="4" t="n"/>
      <c r="C469" s="4" t="n"/>
      <c r="D469" s="5" t="n"/>
      <c r="E469" s="5" t="n"/>
      <c r="F469" s="5" t="n"/>
      <c r="G469" s="5" t="n"/>
      <c r="H469" s="5" t="n"/>
      <c r="I469" s="5" t="n"/>
      <c r="J469" s="5" t="n"/>
      <c r="K469" s="6" t="n"/>
      <c r="L469" s="6" t="n"/>
      <c r="M469" s="6" t="n"/>
      <c r="N469" s="5" t="n"/>
      <c r="O469" s="21" t="n"/>
      <c r="P469" s="5" t="n"/>
      <c r="Q469" s="5" t="n"/>
      <c r="R469" s="6" t="n"/>
      <c r="S469" s="4" t="n"/>
      <c r="T469" s="4" t="n"/>
      <c r="U469" s="3">
        <f>IF(C469="","",IF(T469="",TODAY()-C469,T469-C469))</f>
        <v/>
      </c>
      <c r="V469" s="5" t="n"/>
      <c r="W469" s="6" t="n"/>
      <c r="X469" s="3">
        <f>IF(P469="","",IFERROR(VLOOKUP(P469,Parâmetros!$J$2:$K$5,2,FALSE),""))</f>
        <v/>
      </c>
      <c r="Y469" s="4">
        <f>IF(OR(C469="",X469=""),"",C469+X469)</f>
        <v/>
      </c>
      <c r="Z469" s="5">
        <f>IF(C469="","",IF(Q469="Concluído","Concluído",IF(Y469&lt;TODAY(),"Vencido",IF(Y469-TODAY()&lt;=2,"A vencer","No prazo"))))</f>
        <v/>
      </c>
      <c r="AA469" s="3">
        <f>IF(OR(Y469="",Q469="Concluído"),"",Y469-TODAY())</f>
        <v/>
      </c>
      <c r="AB469" s="5" t="n"/>
      <c r="AC469" s="5" t="n"/>
      <c r="AD469" s="4" t="n"/>
    </row>
    <row r="470">
      <c r="A470" s="3">
        <f>IF(C470="","",ROW()-1)</f>
        <v/>
      </c>
      <c r="B470" s="4" t="n"/>
      <c r="C470" s="4" t="n"/>
      <c r="D470" s="5" t="n"/>
      <c r="E470" s="5" t="n"/>
      <c r="F470" s="5" t="n"/>
      <c r="G470" s="5" t="n"/>
      <c r="H470" s="5" t="n"/>
      <c r="I470" s="5" t="n"/>
      <c r="J470" s="5" t="n"/>
      <c r="K470" s="6" t="n"/>
      <c r="L470" s="6" t="n"/>
      <c r="M470" s="6" t="n"/>
      <c r="N470" s="5" t="n"/>
      <c r="O470" s="21" t="n"/>
      <c r="P470" s="5" t="n"/>
      <c r="Q470" s="5" t="n"/>
      <c r="R470" s="6" t="n"/>
      <c r="S470" s="4" t="n"/>
      <c r="T470" s="4" t="n"/>
      <c r="U470" s="3">
        <f>IF(C470="","",IF(T470="",TODAY()-C470,T470-C470))</f>
        <v/>
      </c>
      <c r="V470" s="5" t="n"/>
      <c r="W470" s="6" t="n"/>
      <c r="X470" s="3">
        <f>IF(P470="","",IFERROR(VLOOKUP(P470,Parâmetros!$J$2:$K$5,2,FALSE),""))</f>
        <v/>
      </c>
      <c r="Y470" s="4">
        <f>IF(OR(C470="",X470=""),"",C470+X470)</f>
        <v/>
      </c>
      <c r="Z470" s="5">
        <f>IF(C470="","",IF(Q470="Concluído","Concluído",IF(Y470&lt;TODAY(),"Vencido",IF(Y470-TODAY()&lt;=2,"A vencer","No prazo"))))</f>
        <v/>
      </c>
      <c r="AA470" s="3">
        <f>IF(OR(Y470="",Q470="Concluído"),"",Y470-TODAY())</f>
        <v/>
      </c>
      <c r="AB470" s="5" t="n"/>
      <c r="AC470" s="5" t="n"/>
      <c r="AD470" s="4" t="n"/>
    </row>
    <row r="471">
      <c r="A471" s="3">
        <f>IF(C471="","",ROW()-1)</f>
        <v/>
      </c>
      <c r="B471" s="4" t="n"/>
      <c r="C471" s="4" t="n"/>
      <c r="D471" s="5" t="n"/>
      <c r="E471" s="5" t="n"/>
      <c r="F471" s="5" t="n"/>
      <c r="G471" s="5" t="n"/>
      <c r="H471" s="5" t="n"/>
      <c r="I471" s="5" t="n"/>
      <c r="J471" s="5" t="n"/>
      <c r="K471" s="6" t="n"/>
      <c r="L471" s="6" t="n"/>
      <c r="M471" s="6" t="n"/>
      <c r="N471" s="5" t="n"/>
      <c r="O471" s="21" t="n"/>
      <c r="P471" s="5" t="n"/>
      <c r="Q471" s="5" t="n"/>
      <c r="R471" s="6" t="n"/>
      <c r="S471" s="4" t="n"/>
      <c r="T471" s="4" t="n"/>
      <c r="U471" s="3">
        <f>IF(C471="","",IF(T471="",TODAY()-C471,T471-C471))</f>
        <v/>
      </c>
      <c r="V471" s="5" t="n"/>
      <c r="W471" s="6" t="n"/>
      <c r="X471" s="3">
        <f>IF(P471="","",IFERROR(VLOOKUP(P471,Parâmetros!$J$2:$K$5,2,FALSE),""))</f>
        <v/>
      </c>
      <c r="Y471" s="4">
        <f>IF(OR(C471="",X471=""),"",C471+X471)</f>
        <v/>
      </c>
      <c r="Z471" s="5">
        <f>IF(C471="","",IF(Q471="Concluído","Concluído",IF(Y471&lt;TODAY(),"Vencido",IF(Y471-TODAY()&lt;=2,"A vencer","No prazo"))))</f>
        <v/>
      </c>
      <c r="AA471" s="3">
        <f>IF(OR(Y471="",Q471="Concluído"),"",Y471-TODAY())</f>
        <v/>
      </c>
      <c r="AB471" s="5" t="n"/>
      <c r="AC471" s="5" t="n"/>
      <c r="AD471" s="4" t="n"/>
    </row>
    <row r="472">
      <c r="A472" s="3">
        <f>IF(C472="","",ROW()-1)</f>
        <v/>
      </c>
      <c r="B472" s="4" t="n"/>
      <c r="C472" s="4" t="n"/>
      <c r="D472" s="5" t="n"/>
      <c r="E472" s="5" t="n"/>
      <c r="F472" s="5" t="n"/>
      <c r="G472" s="5" t="n"/>
      <c r="H472" s="5" t="n"/>
      <c r="I472" s="5" t="n"/>
      <c r="J472" s="5" t="n"/>
      <c r="K472" s="6" t="n"/>
      <c r="L472" s="6" t="n"/>
      <c r="M472" s="6" t="n"/>
      <c r="N472" s="5" t="n"/>
      <c r="O472" s="21" t="n"/>
      <c r="P472" s="5" t="n"/>
      <c r="Q472" s="5" t="n"/>
      <c r="R472" s="6" t="n"/>
      <c r="S472" s="4" t="n"/>
      <c r="T472" s="4" t="n"/>
      <c r="U472" s="3">
        <f>IF(C472="","",IF(T472="",TODAY()-C472,T472-C472))</f>
        <v/>
      </c>
      <c r="V472" s="5" t="n"/>
      <c r="W472" s="6" t="n"/>
      <c r="X472" s="3">
        <f>IF(P472="","",IFERROR(VLOOKUP(P472,Parâmetros!$J$2:$K$5,2,FALSE),""))</f>
        <v/>
      </c>
      <c r="Y472" s="4">
        <f>IF(OR(C472="",X472=""),"",C472+X472)</f>
        <v/>
      </c>
      <c r="Z472" s="5">
        <f>IF(C472="","",IF(Q472="Concluído","Concluído",IF(Y472&lt;TODAY(),"Vencido",IF(Y472-TODAY()&lt;=2,"A vencer","No prazo"))))</f>
        <v/>
      </c>
      <c r="AA472" s="3">
        <f>IF(OR(Y472="",Q472="Concluído"),"",Y472-TODAY())</f>
        <v/>
      </c>
      <c r="AB472" s="5" t="n"/>
      <c r="AC472" s="5" t="n"/>
      <c r="AD472" s="4" t="n"/>
    </row>
    <row r="473">
      <c r="A473" s="3">
        <f>IF(C473="","",ROW()-1)</f>
        <v/>
      </c>
      <c r="B473" s="4" t="n"/>
      <c r="C473" s="4" t="n"/>
      <c r="D473" s="5" t="n"/>
      <c r="E473" s="5" t="n"/>
      <c r="F473" s="5" t="n"/>
      <c r="G473" s="5" t="n"/>
      <c r="H473" s="5" t="n"/>
      <c r="I473" s="5" t="n"/>
      <c r="J473" s="5" t="n"/>
      <c r="K473" s="6" t="n"/>
      <c r="L473" s="6" t="n"/>
      <c r="M473" s="6" t="n"/>
      <c r="N473" s="5" t="n"/>
      <c r="O473" s="21" t="n"/>
      <c r="P473" s="5" t="n"/>
      <c r="Q473" s="5" t="n"/>
      <c r="R473" s="6" t="n"/>
      <c r="S473" s="4" t="n"/>
      <c r="T473" s="4" t="n"/>
      <c r="U473" s="3">
        <f>IF(C473="","",IF(T473="",TODAY()-C473,T473-C473))</f>
        <v/>
      </c>
      <c r="V473" s="5" t="n"/>
      <c r="W473" s="6" t="n"/>
      <c r="X473" s="3">
        <f>IF(P473="","",IFERROR(VLOOKUP(P473,Parâmetros!$J$2:$K$5,2,FALSE),""))</f>
        <v/>
      </c>
      <c r="Y473" s="4">
        <f>IF(OR(C473="",X473=""),"",C473+X473)</f>
        <v/>
      </c>
      <c r="Z473" s="5">
        <f>IF(C473="","",IF(Q473="Concluído","Concluído",IF(Y473&lt;TODAY(),"Vencido",IF(Y473-TODAY()&lt;=2,"A vencer","No prazo"))))</f>
        <v/>
      </c>
      <c r="AA473" s="3">
        <f>IF(OR(Y473="",Q473="Concluído"),"",Y473-TODAY())</f>
        <v/>
      </c>
      <c r="AB473" s="5" t="n"/>
      <c r="AC473" s="5" t="n"/>
      <c r="AD473" s="4" t="n"/>
    </row>
    <row r="474">
      <c r="A474" s="3">
        <f>IF(C474="","",ROW()-1)</f>
        <v/>
      </c>
      <c r="B474" s="4" t="n"/>
      <c r="C474" s="4" t="n"/>
      <c r="D474" s="5" t="n"/>
      <c r="E474" s="5" t="n"/>
      <c r="F474" s="5" t="n"/>
      <c r="G474" s="5" t="n"/>
      <c r="H474" s="5" t="n"/>
      <c r="I474" s="5" t="n"/>
      <c r="J474" s="5" t="n"/>
      <c r="K474" s="6" t="n"/>
      <c r="L474" s="6" t="n"/>
      <c r="M474" s="6" t="n"/>
      <c r="N474" s="5" t="n"/>
      <c r="O474" s="21" t="n"/>
      <c r="P474" s="5" t="n"/>
      <c r="Q474" s="5" t="n"/>
      <c r="R474" s="6" t="n"/>
      <c r="S474" s="4" t="n"/>
      <c r="T474" s="4" t="n"/>
      <c r="U474" s="3">
        <f>IF(C474="","",IF(T474="",TODAY()-C474,T474-C474))</f>
        <v/>
      </c>
      <c r="V474" s="5" t="n"/>
      <c r="W474" s="6" t="n"/>
      <c r="X474" s="3">
        <f>IF(P474="","",IFERROR(VLOOKUP(P474,Parâmetros!$J$2:$K$5,2,FALSE),""))</f>
        <v/>
      </c>
      <c r="Y474" s="4">
        <f>IF(OR(C474="",X474=""),"",C474+X474)</f>
        <v/>
      </c>
      <c r="Z474" s="5">
        <f>IF(C474="","",IF(Q474="Concluído","Concluído",IF(Y474&lt;TODAY(),"Vencido",IF(Y474-TODAY()&lt;=2,"A vencer","No prazo"))))</f>
        <v/>
      </c>
      <c r="AA474" s="3">
        <f>IF(OR(Y474="",Q474="Concluído"),"",Y474-TODAY())</f>
        <v/>
      </c>
      <c r="AB474" s="5" t="n"/>
      <c r="AC474" s="5" t="n"/>
      <c r="AD474" s="4" t="n"/>
    </row>
    <row r="475">
      <c r="A475" s="3">
        <f>IF(C475="","",ROW()-1)</f>
        <v/>
      </c>
      <c r="B475" s="4" t="n"/>
      <c r="C475" s="4" t="n"/>
      <c r="D475" s="5" t="n"/>
      <c r="E475" s="5" t="n"/>
      <c r="F475" s="5" t="n"/>
      <c r="G475" s="5" t="n"/>
      <c r="H475" s="5" t="n"/>
      <c r="I475" s="5" t="n"/>
      <c r="J475" s="5" t="n"/>
      <c r="K475" s="6" t="n"/>
      <c r="L475" s="6" t="n"/>
      <c r="M475" s="6" t="n"/>
      <c r="N475" s="5" t="n"/>
      <c r="O475" s="21" t="n"/>
      <c r="P475" s="5" t="n"/>
      <c r="Q475" s="5" t="n"/>
      <c r="R475" s="6" t="n"/>
      <c r="S475" s="4" t="n"/>
      <c r="T475" s="4" t="n"/>
      <c r="U475" s="3">
        <f>IF(C475="","",IF(T475="",TODAY()-C475,T475-C475))</f>
        <v/>
      </c>
      <c r="V475" s="5" t="n"/>
      <c r="W475" s="6" t="n"/>
      <c r="X475" s="3">
        <f>IF(P475="","",IFERROR(VLOOKUP(P475,Parâmetros!$J$2:$K$5,2,FALSE),""))</f>
        <v/>
      </c>
      <c r="Y475" s="4">
        <f>IF(OR(C475="",X475=""),"",C475+X475)</f>
        <v/>
      </c>
      <c r="Z475" s="5">
        <f>IF(C475="","",IF(Q475="Concluído","Concluído",IF(Y475&lt;TODAY(),"Vencido",IF(Y475-TODAY()&lt;=2,"A vencer","No prazo"))))</f>
        <v/>
      </c>
      <c r="AA475" s="3">
        <f>IF(OR(Y475="",Q475="Concluído"),"",Y475-TODAY())</f>
        <v/>
      </c>
      <c r="AB475" s="5" t="n"/>
      <c r="AC475" s="5" t="n"/>
      <c r="AD475" s="4" t="n"/>
    </row>
    <row r="476">
      <c r="A476" s="3">
        <f>IF(C476="","",ROW()-1)</f>
        <v/>
      </c>
      <c r="B476" s="4" t="n"/>
      <c r="C476" s="4" t="n"/>
      <c r="D476" s="5" t="n"/>
      <c r="E476" s="5" t="n"/>
      <c r="F476" s="5" t="n"/>
      <c r="G476" s="5" t="n"/>
      <c r="H476" s="5" t="n"/>
      <c r="I476" s="5" t="n"/>
      <c r="J476" s="5" t="n"/>
      <c r="K476" s="6" t="n"/>
      <c r="L476" s="6" t="n"/>
      <c r="M476" s="6" t="n"/>
      <c r="N476" s="5" t="n"/>
      <c r="O476" s="21" t="n"/>
      <c r="P476" s="5" t="n"/>
      <c r="Q476" s="5" t="n"/>
      <c r="R476" s="6" t="n"/>
      <c r="S476" s="4" t="n"/>
      <c r="T476" s="4" t="n"/>
      <c r="U476" s="3">
        <f>IF(C476="","",IF(T476="",TODAY()-C476,T476-C476))</f>
        <v/>
      </c>
      <c r="V476" s="5" t="n"/>
      <c r="W476" s="6" t="n"/>
      <c r="X476" s="3">
        <f>IF(P476="","",IFERROR(VLOOKUP(P476,Parâmetros!$J$2:$K$5,2,FALSE),""))</f>
        <v/>
      </c>
      <c r="Y476" s="4">
        <f>IF(OR(C476="",X476=""),"",C476+X476)</f>
        <v/>
      </c>
      <c r="Z476" s="5">
        <f>IF(C476="","",IF(Q476="Concluído","Concluído",IF(Y476&lt;TODAY(),"Vencido",IF(Y476-TODAY()&lt;=2,"A vencer","No prazo"))))</f>
        <v/>
      </c>
      <c r="AA476" s="3">
        <f>IF(OR(Y476="",Q476="Concluído"),"",Y476-TODAY())</f>
        <v/>
      </c>
      <c r="AB476" s="5" t="n"/>
      <c r="AC476" s="5" t="n"/>
      <c r="AD476" s="4" t="n"/>
    </row>
    <row r="477">
      <c r="A477" s="3">
        <f>IF(C477="","",ROW()-1)</f>
        <v/>
      </c>
      <c r="B477" s="4" t="n"/>
      <c r="C477" s="4" t="n"/>
      <c r="D477" s="5" t="n"/>
      <c r="E477" s="5" t="n"/>
      <c r="F477" s="5" t="n"/>
      <c r="G477" s="5" t="n"/>
      <c r="H477" s="5" t="n"/>
      <c r="I477" s="5" t="n"/>
      <c r="J477" s="5" t="n"/>
      <c r="K477" s="6" t="n"/>
      <c r="L477" s="6" t="n"/>
      <c r="M477" s="6" t="n"/>
      <c r="N477" s="5" t="n"/>
      <c r="O477" s="21" t="n"/>
      <c r="P477" s="5" t="n"/>
      <c r="Q477" s="5" t="n"/>
      <c r="R477" s="6" t="n"/>
      <c r="S477" s="4" t="n"/>
      <c r="T477" s="4" t="n"/>
      <c r="U477" s="3">
        <f>IF(C477="","",IF(T477="",TODAY()-C477,T477-C477))</f>
        <v/>
      </c>
      <c r="V477" s="5" t="n"/>
      <c r="W477" s="6" t="n"/>
      <c r="X477" s="3">
        <f>IF(P477="","",IFERROR(VLOOKUP(P477,Parâmetros!$J$2:$K$5,2,FALSE),""))</f>
        <v/>
      </c>
      <c r="Y477" s="4">
        <f>IF(OR(C477="",X477=""),"",C477+X477)</f>
        <v/>
      </c>
      <c r="Z477" s="5">
        <f>IF(C477="","",IF(Q477="Concluído","Concluído",IF(Y477&lt;TODAY(),"Vencido",IF(Y477-TODAY()&lt;=2,"A vencer","No prazo"))))</f>
        <v/>
      </c>
      <c r="AA477" s="3">
        <f>IF(OR(Y477="",Q477="Concluído"),"",Y477-TODAY())</f>
        <v/>
      </c>
      <c r="AB477" s="5" t="n"/>
      <c r="AC477" s="5" t="n"/>
      <c r="AD477" s="4" t="n"/>
    </row>
    <row r="478">
      <c r="A478" s="3">
        <f>IF(C478="","",ROW()-1)</f>
        <v/>
      </c>
      <c r="B478" s="4" t="n"/>
      <c r="C478" s="4" t="n"/>
      <c r="D478" s="5" t="n"/>
      <c r="E478" s="5" t="n"/>
      <c r="F478" s="5" t="n"/>
      <c r="G478" s="5" t="n"/>
      <c r="H478" s="5" t="n"/>
      <c r="I478" s="5" t="n"/>
      <c r="J478" s="5" t="n"/>
      <c r="K478" s="6" t="n"/>
      <c r="L478" s="6" t="n"/>
      <c r="M478" s="6" t="n"/>
      <c r="N478" s="5" t="n"/>
      <c r="O478" s="21" t="n"/>
      <c r="P478" s="5" t="n"/>
      <c r="Q478" s="5" t="n"/>
      <c r="R478" s="6" t="n"/>
      <c r="S478" s="4" t="n"/>
      <c r="T478" s="4" t="n"/>
      <c r="U478" s="3">
        <f>IF(C478="","",IF(T478="",TODAY()-C478,T478-C478))</f>
        <v/>
      </c>
      <c r="V478" s="5" t="n"/>
      <c r="W478" s="6" t="n"/>
      <c r="X478" s="3">
        <f>IF(P478="","",IFERROR(VLOOKUP(P478,Parâmetros!$J$2:$K$5,2,FALSE),""))</f>
        <v/>
      </c>
      <c r="Y478" s="4">
        <f>IF(OR(C478="",X478=""),"",C478+X478)</f>
        <v/>
      </c>
      <c r="Z478" s="5">
        <f>IF(C478="","",IF(Q478="Concluído","Concluído",IF(Y478&lt;TODAY(),"Vencido",IF(Y478-TODAY()&lt;=2,"A vencer","No prazo"))))</f>
        <v/>
      </c>
      <c r="AA478" s="3">
        <f>IF(OR(Y478="",Q478="Concluído"),"",Y478-TODAY())</f>
        <v/>
      </c>
      <c r="AB478" s="5" t="n"/>
      <c r="AC478" s="5" t="n"/>
      <c r="AD478" s="4" t="n"/>
    </row>
    <row r="479">
      <c r="A479" s="3">
        <f>IF(C479="","",ROW()-1)</f>
        <v/>
      </c>
      <c r="B479" s="4" t="n"/>
      <c r="C479" s="4" t="n"/>
      <c r="D479" s="5" t="n"/>
      <c r="E479" s="5" t="n"/>
      <c r="F479" s="5" t="n"/>
      <c r="G479" s="5" t="n"/>
      <c r="H479" s="5" t="n"/>
      <c r="I479" s="5" t="n"/>
      <c r="J479" s="5" t="n"/>
      <c r="K479" s="6" t="n"/>
      <c r="L479" s="6" t="n"/>
      <c r="M479" s="6" t="n"/>
      <c r="N479" s="5" t="n"/>
      <c r="O479" s="21" t="n"/>
      <c r="P479" s="5" t="n"/>
      <c r="Q479" s="5" t="n"/>
      <c r="R479" s="6" t="n"/>
      <c r="S479" s="4" t="n"/>
      <c r="T479" s="4" t="n"/>
      <c r="U479" s="3">
        <f>IF(C479="","",IF(T479="",TODAY()-C479,T479-C479))</f>
        <v/>
      </c>
      <c r="V479" s="5" t="n"/>
      <c r="W479" s="6" t="n"/>
      <c r="X479" s="3">
        <f>IF(P479="","",IFERROR(VLOOKUP(P479,Parâmetros!$J$2:$K$5,2,FALSE),""))</f>
        <v/>
      </c>
      <c r="Y479" s="4">
        <f>IF(OR(C479="",X479=""),"",C479+X479)</f>
        <v/>
      </c>
      <c r="Z479" s="5">
        <f>IF(C479="","",IF(Q479="Concluído","Concluído",IF(Y479&lt;TODAY(),"Vencido",IF(Y479-TODAY()&lt;=2,"A vencer","No prazo"))))</f>
        <v/>
      </c>
      <c r="AA479" s="3">
        <f>IF(OR(Y479="",Q479="Concluído"),"",Y479-TODAY())</f>
        <v/>
      </c>
      <c r="AB479" s="5" t="n"/>
      <c r="AC479" s="5" t="n"/>
      <c r="AD479" s="4" t="n"/>
    </row>
    <row r="480">
      <c r="A480" s="3">
        <f>IF(C480="","",ROW()-1)</f>
        <v/>
      </c>
      <c r="B480" s="4" t="n"/>
      <c r="C480" s="4" t="n"/>
      <c r="D480" s="5" t="n"/>
      <c r="E480" s="5" t="n"/>
      <c r="F480" s="5" t="n"/>
      <c r="G480" s="5" t="n"/>
      <c r="H480" s="5" t="n"/>
      <c r="I480" s="5" t="n"/>
      <c r="J480" s="5" t="n"/>
      <c r="K480" s="6" t="n"/>
      <c r="L480" s="6" t="n"/>
      <c r="M480" s="6" t="n"/>
      <c r="N480" s="5" t="n"/>
      <c r="O480" s="21" t="n"/>
      <c r="P480" s="5" t="n"/>
      <c r="Q480" s="5" t="n"/>
      <c r="R480" s="6" t="n"/>
      <c r="S480" s="4" t="n"/>
      <c r="T480" s="4" t="n"/>
      <c r="U480" s="3">
        <f>IF(C480="","",IF(T480="",TODAY()-C480,T480-C480))</f>
        <v/>
      </c>
      <c r="V480" s="5" t="n"/>
      <c r="W480" s="6" t="n"/>
      <c r="X480" s="3">
        <f>IF(P480="","",IFERROR(VLOOKUP(P480,Parâmetros!$J$2:$K$5,2,FALSE),""))</f>
        <v/>
      </c>
      <c r="Y480" s="4">
        <f>IF(OR(C480="",X480=""),"",C480+X480)</f>
        <v/>
      </c>
      <c r="Z480" s="5">
        <f>IF(C480="","",IF(Q480="Concluído","Concluído",IF(Y480&lt;TODAY(),"Vencido",IF(Y480-TODAY()&lt;=2,"A vencer","No prazo"))))</f>
        <v/>
      </c>
      <c r="AA480" s="3">
        <f>IF(OR(Y480="",Q480="Concluído"),"",Y480-TODAY())</f>
        <v/>
      </c>
      <c r="AB480" s="5" t="n"/>
      <c r="AC480" s="5" t="n"/>
      <c r="AD480" s="4" t="n"/>
    </row>
    <row r="481">
      <c r="A481" s="3">
        <f>IF(C481="","",ROW()-1)</f>
        <v/>
      </c>
      <c r="B481" s="4" t="n"/>
      <c r="C481" s="4" t="n"/>
      <c r="D481" s="5" t="n"/>
      <c r="E481" s="5" t="n"/>
      <c r="F481" s="5" t="n"/>
      <c r="G481" s="5" t="n"/>
      <c r="H481" s="5" t="n"/>
      <c r="I481" s="5" t="n"/>
      <c r="J481" s="5" t="n"/>
      <c r="K481" s="6" t="n"/>
      <c r="L481" s="6" t="n"/>
      <c r="M481" s="6" t="n"/>
      <c r="N481" s="5" t="n"/>
      <c r="O481" s="21" t="n"/>
      <c r="P481" s="5" t="n"/>
      <c r="Q481" s="5" t="n"/>
      <c r="R481" s="6" t="n"/>
      <c r="S481" s="4" t="n"/>
      <c r="T481" s="4" t="n"/>
      <c r="U481" s="3">
        <f>IF(C481="","",IF(T481="",TODAY()-C481,T481-C481))</f>
        <v/>
      </c>
      <c r="V481" s="5" t="n"/>
      <c r="W481" s="6" t="n"/>
      <c r="X481" s="3">
        <f>IF(P481="","",IFERROR(VLOOKUP(P481,Parâmetros!$J$2:$K$5,2,FALSE),""))</f>
        <v/>
      </c>
      <c r="Y481" s="4">
        <f>IF(OR(C481="",X481=""),"",C481+X481)</f>
        <v/>
      </c>
      <c r="Z481" s="5">
        <f>IF(C481="","",IF(Q481="Concluído","Concluído",IF(Y481&lt;TODAY(),"Vencido",IF(Y481-TODAY()&lt;=2,"A vencer","No prazo"))))</f>
        <v/>
      </c>
      <c r="AA481" s="3">
        <f>IF(OR(Y481="",Q481="Concluído"),"",Y481-TODAY())</f>
        <v/>
      </c>
      <c r="AB481" s="5" t="n"/>
      <c r="AC481" s="5" t="n"/>
      <c r="AD481" s="4" t="n"/>
    </row>
    <row r="482">
      <c r="A482" s="3">
        <f>IF(C482="","",ROW()-1)</f>
        <v/>
      </c>
      <c r="B482" s="4" t="n"/>
      <c r="C482" s="4" t="n"/>
      <c r="D482" s="5" t="n"/>
      <c r="E482" s="5" t="n"/>
      <c r="F482" s="5" t="n"/>
      <c r="G482" s="5" t="n"/>
      <c r="H482" s="5" t="n"/>
      <c r="I482" s="5" t="n"/>
      <c r="J482" s="5" t="n"/>
      <c r="K482" s="6" t="n"/>
      <c r="L482" s="6" t="n"/>
      <c r="M482" s="6" t="n"/>
      <c r="N482" s="5" t="n"/>
      <c r="O482" s="21" t="n"/>
      <c r="P482" s="5" t="n"/>
      <c r="Q482" s="5" t="n"/>
      <c r="R482" s="6" t="n"/>
      <c r="S482" s="4" t="n"/>
      <c r="T482" s="4" t="n"/>
      <c r="U482" s="3">
        <f>IF(C482="","",IF(T482="",TODAY()-C482,T482-C482))</f>
        <v/>
      </c>
      <c r="V482" s="5" t="n"/>
      <c r="W482" s="6" t="n"/>
      <c r="X482" s="3">
        <f>IF(P482="","",IFERROR(VLOOKUP(P482,Parâmetros!$J$2:$K$5,2,FALSE),""))</f>
        <v/>
      </c>
      <c r="Y482" s="4">
        <f>IF(OR(C482="",X482=""),"",C482+X482)</f>
        <v/>
      </c>
      <c r="Z482" s="5">
        <f>IF(C482="","",IF(Q482="Concluído","Concluído",IF(Y482&lt;TODAY(),"Vencido",IF(Y482-TODAY()&lt;=2,"A vencer","No prazo"))))</f>
        <v/>
      </c>
      <c r="AA482" s="3">
        <f>IF(OR(Y482="",Q482="Concluído"),"",Y482-TODAY())</f>
        <v/>
      </c>
      <c r="AB482" s="5" t="n"/>
      <c r="AC482" s="5" t="n"/>
      <c r="AD482" s="4" t="n"/>
    </row>
    <row r="483">
      <c r="A483" s="3">
        <f>IF(C483="","",ROW()-1)</f>
        <v/>
      </c>
      <c r="B483" s="4" t="n"/>
      <c r="C483" s="4" t="n"/>
      <c r="D483" s="5" t="n"/>
      <c r="E483" s="5" t="n"/>
      <c r="F483" s="5" t="n"/>
      <c r="G483" s="5" t="n"/>
      <c r="H483" s="5" t="n"/>
      <c r="I483" s="5" t="n"/>
      <c r="J483" s="5" t="n"/>
      <c r="K483" s="6" t="n"/>
      <c r="L483" s="6" t="n"/>
      <c r="M483" s="6" t="n"/>
      <c r="N483" s="5" t="n"/>
      <c r="O483" s="21" t="n"/>
      <c r="P483" s="5" t="n"/>
      <c r="Q483" s="5" t="n"/>
      <c r="R483" s="6" t="n"/>
      <c r="S483" s="4" t="n"/>
      <c r="T483" s="4" t="n"/>
      <c r="U483" s="3">
        <f>IF(C483="","",IF(T483="",TODAY()-C483,T483-C483))</f>
        <v/>
      </c>
      <c r="V483" s="5" t="n"/>
      <c r="W483" s="6" t="n"/>
      <c r="X483" s="3">
        <f>IF(P483="","",IFERROR(VLOOKUP(P483,Parâmetros!$J$2:$K$5,2,FALSE),""))</f>
        <v/>
      </c>
      <c r="Y483" s="4">
        <f>IF(OR(C483="",X483=""),"",C483+X483)</f>
        <v/>
      </c>
      <c r="Z483" s="5">
        <f>IF(C483="","",IF(Q483="Concluído","Concluído",IF(Y483&lt;TODAY(),"Vencido",IF(Y483-TODAY()&lt;=2,"A vencer","No prazo"))))</f>
        <v/>
      </c>
      <c r="AA483" s="3">
        <f>IF(OR(Y483="",Q483="Concluído"),"",Y483-TODAY())</f>
        <v/>
      </c>
      <c r="AB483" s="5" t="n"/>
      <c r="AC483" s="5" t="n"/>
      <c r="AD483" s="4" t="n"/>
    </row>
    <row r="484">
      <c r="A484" s="3">
        <f>IF(C484="","",ROW()-1)</f>
        <v/>
      </c>
      <c r="B484" s="4" t="n"/>
      <c r="C484" s="4" t="n"/>
      <c r="D484" s="5" t="n"/>
      <c r="E484" s="5" t="n"/>
      <c r="F484" s="5" t="n"/>
      <c r="G484" s="5" t="n"/>
      <c r="H484" s="5" t="n"/>
      <c r="I484" s="5" t="n"/>
      <c r="J484" s="5" t="n"/>
      <c r="K484" s="6" t="n"/>
      <c r="L484" s="6" t="n"/>
      <c r="M484" s="6" t="n"/>
      <c r="N484" s="5" t="n"/>
      <c r="O484" s="21" t="n"/>
      <c r="P484" s="5" t="n"/>
      <c r="Q484" s="5" t="n"/>
      <c r="R484" s="6" t="n"/>
      <c r="S484" s="4" t="n"/>
      <c r="T484" s="4" t="n"/>
      <c r="U484" s="3">
        <f>IF(C484="","",IF(T484="",TODAY()-C484,T484-C484))</f>
        <v/>
      </c>
      <c r="V484" s="5" t="n"/>
      <c r="W484" s="6" t="n"/>
      <c r="X484" s="3">
        <f>IF(P484="","",IFERROR(VLOOKUP(P484,Parâmetros!$J$2:$K$5,2,FALSE),""))</f>
        <v/>
      </c>
      <c r="Y484" s="4">
        <f>IF(OR(C484="",X484=""),"",C484+X484)</f>
        <v/>
      </c>
      <c r="Z484" s="5">
        <f>IF(C484="","",IF(Q484="Concluído","Concluído",IF(Y484&lt;TODAY(),"Vencido",IF(Y484-TODAY()&lt;=2,"A vencer","No prazo"))))</f>
        <v/>
      </c>
      <c r="AA484" s="3">
        <f>IF(OR(Y484="",Q484="Concluído"),"",Y484-TODAY())</f>
        <v/>
      </c>
      <c r="AB484" s="5" t="n"/>
      <c r="AC484" s="5" t="n"/>
      <c r="AD484" s="4" t="n"/>
    </row>
    <row r="485">
      <c r="A485" s="3">
        <f>IF(C485="","",ROW()-1)</f>
        <v/>
      </c>
      <c r="B485" s="4" t="n"/>
      <c r="C485" s="4" t="n"/>
      <c r="D485" s="5" t="n"/>
      <c r="E485" s="5" t="n"/>
      <c r="F485" s="5" t="n"/>
      <c r="G485" s="5" t="n"/>
      <c r="H485" s="5" t="n"/>
      <c r="I485" s="5" t="n"/>
      <c r="J485" s="5" t="n"/>
      <c r="K485" s="6" t="n"/>
      <c r="L485" s="6" t="n"/>
      <c r="M485" s="6" t="n"/>
      <c r="N485" s="5" t="n"/>
      <c r="O485" s="21" t="n"/>
      <c r="P485" s="5" t="n"/>
      <c r="Q485" s="5" t="n"/>
      <c r="R485" s="6" t="n"/>
      <c r="S485" s="4" t="n"/>
      <c r="T485" s="4" t="n"/>
      <c r="U485" s="3">
        <f>IF(C485="","",IF(T485="",TODAY()-C485,T485-C485))</f>
        <v/>
      </c>
      <c r="V485" s="5" t="n"/>
      <c r="W485" s="6" t="n"/>
      <c r="X485" s="3">
        <f>IF(P485="","",IFERROR(VLOOKUP(P485,Parâmetros!$J$2:$K$5,2,FALSE),""))</f>
        <v/>
      </c>
      <c r="Y485" s="4">
        <f>IF(OR(C485="",X485=""),"",C485+X485)</f>
        <v/>
      </c>
      <c r="Z485" s="5">
        <f>IF(C485="","",IF(Q485="Concluído","Concluído",IF(Y485&lt;TODAY(),"Vencido",IF(Y485-TODAY()&lt;=2,"A vencer","No prazo"))))</f>
        <v/>
      </c>
      <c r="AA485" s="3">
        <f>IF(OR(Y485="",Q485="Concluído"),"",Y485-TODAY())</f>
        <v/>
      </c>
      <c r="AB485" s="5" t="n"/>
      <c r="AC485" s="5" t="n"/>
      <c r="AD485" s="4" t="n"/>
    </row>
    <row r="486">
      <c r="A486" s="3">
        <f>IF(C486="","",ROW()-1)</f>
        <v/>
      </c>
      <c r="B486" s="4" t="n"/>
      <c r="C486" s="4" t="n"/>
      <c r="D486" s="5" t="n"/>
      <c r="E486" s="5" t="n"/>
      <c r="F486" s="5" t="n"/>
      <c r="G486" s="5" t="n"/>
      <c r="H486" s="5" t="n"/>
      <c r="I486" s="5" t="n"/>
      <c r="J486" s="5" t="n"/>
      <c r="K486" s="6" t="n"/>
      <c r="L486" s="6" t="n"/>
      <c r="M486" s="6" t="n"/>
      <c r="N486" s="5" t="n"/>
      <c r="O486" s="21" t="n"/>
      <c r="P486" s="5" t="n"/>
      <c r="Q486" s="5" t="n"/>
      <c r="R486" s="6" t="n"/>
      <c r="S486" s="4" t="n"/>
      <c r="T486" s="4" t="n"/>
      <c r="U486" s="3">
        <f>IF(C486="","",IF(T486="",TODAY()-C486,T486-C486))</f>
        <v/>
      </c>
      <c r="V486" s="5" t="n"/>
      <c r="W486" s="6" t="n"/>
      <c r="X486" s="3">
        <f>IF(P486="","",IFERROR(VLOOKUP(P486,Parâmetros!$J$2:$K$5,2,FALSE),""))</f>
        <v/>
      </c>
      <c r="Y486" s="4">
        <f>IF(OR(C486="",X486=""),"",C486+X486)</f>
        <v/>
      </c>
      <c r="Z486" s="5">
        <f>IF(C486="","",IF(Q486="Concluído","Concluído",IF(Y486&lt;TODAY(),"Vencido",IF(Y486-TODAY()&lt;=2,"A vencer","No prazo"))))</f>
        <v/>
      </c>
      <c r="AA486" s="3">
        <f>IF(OR(Y486="",Q486="Concluído"),"",Y486-TODAY())</f>
        <v/>
      </c>
      <c r="AB486" s="5" t="n"/>
      <c r="AC486" s="5" t="n"/>
      <c r="AD486" s="4" t="n"/>
    </row>
    <row r="487">
      <c r="A487" s="3">
        <f>IF(C487="","",ROW()-1)</f>
        <v/>
      </c>
      <c r="B487" s="4" t="n"/>
      <c r="C487" s="4" t="n"/>
      <c r="D487" s="5" t="n"/>
      <c r="E487" s="5" t="n"/>
      <c r="F487" s="5" t="n"/>
      <c r="G487" s="5" t="n"/>
      <c r="H487" s="5" t="n"/>
      <c r="I487" s="5" t="n"/>
      <c r="J487" s="5" t="n"/>
      <c r="K487" s="6" t="n"/>
      <c r="L487" s="6" t="n"/>
      <c r="M487" s="6" t="n"/>
      <c r="N487" s="5" t="n"/>
      <c r="O487" s="21" t="n"/>
      <c r="P487" s="5" t="n"/>
      <c r="Q487" s="5" t="n"/>
      <c r="R487" s="6" t="n"/>
      <c r="S487" s="4" t="n"/>
      <c r="T487" s="4" t="n"/>
      <c r="U487" s="3">
        <f>IF(C487="","",IF(T487="",TODAY()-C487,T487-C487))</f>
        <v/>
      </c>
      <c r="V487" s="5" t="n"/>
      <c r="W487" s="6" t="n"/>
      <c r="X487" s="3">
        <f>IF(P487="","",IFERROR(VLOOKUP(P487,Parâmetros!$J$2:$K$5,2,FALSE),""))</f>
        <v/>
      </c>
      <c r="Y487" s="4">
        <f>IF(OR(C487="",X487=""),"",C487+X487)</f>
        <v/>
      </c>
      <c r="Z487" s="5">
        <f>IF(C487="","",IF(Q487="Concluído","Concluído",IF(Y487&lt;TODAY(),"Vencido",IF(Y487-TODAY()&lt;=2,"A vencer","No prazo"))))</f>
        <v/>
      </c>
      <c r="AA487" s="3">
        <f>IF(OR(Y487="",Q487="Concluído"),"",Y487-TODAY())</f>
        <v/>
      </c>
      <c r="AB487" s="5" t="n"/>
      <c r="AC487" s="5" t="n"/>
      <c r="AD487" s="4" t="n"/>
    </row>
    <row r="488">
      <c r="A488" s="3">
        <f>IF(C488="","",ROW()-1)</f>
        <v/>
      </c>
      <c r="B488" s="4" t="n"/>
      <c r="C488" s="4" t="n"/>
      <c r="D488" s="5" t="n"/>
      <c r="E488" s="5" t="n"/>
      <c r="F488" s="5" t="n"/>
      <c r="G488" s="5" t="n"/>
      <c r="H488" s="5" t="n"/>
      <c r="I488" s="5" t="n"/>
      <c r="J488" s="5" t="n"/>
      <c r="K488" s="6" t="n"/>
      <c r="L488" s="6" t="n"/>
      <c r="M488" s="6" t="n"/>
      <c r="N488" s="5" t="n"/>
      <c r="O488" s="21" t="n"/>
      <c r="P488" s="5" t="n"/>
      <c r="Q488" s="5" t="n"/>
      <c r="R488" s="6" t="n"/>
      <c r="S488" s="4" t="n"/>
      <c r="T488" s="4" t="n"/>
      <c r="U488" s="3">
        <f>IF(C488="","",IF(T488="",TODAY()-C488,T488-C488))</f>
        <v/>
      </c>
      <c r="V488" s="5" t="n"/>
      <c r="W488" s="6" t="n"/>
      <c r="X488" s="3">
        <f>IF(P488="","",IFERROR(VLOOKUP(P488,Parâmetros!$J$2:$K$5,2,FALSE),""))</f>
        <v/>
      </c>
      <c r="Y488" s="4">
        <f>IF(OR(C488="",X488=""),"",C488+X488)</f>
        <v/>
      </c>
      <c r="Z488" s="5">
        <f>IF(C488="","",IF(Q488="Concluído","Concluído",IF(Y488&lt;TODAY(),"Vencido",IF(Y488-TODAY()&lt;=2,"A vencer","No prazo"))))</f>
        <v/>
      </c>
      <c r="AA488" s="3">
        <f>IF(OR(Y488="",Q488="Concluído"),"",Y488-TODAY())</f>
        <v/>
      </c>
      <c r="AB488" s="5" t="n"/>
      <c r="AC488" s="5" t="n"/>
      <c r="AD488" s="4" t="n"/>
    </row>
    <row r="489">
      <c r="A489" s="3">
        <f>IF(C489="","",ROW()-1)</f>
        <v/>
      </c>
      <c r="B489" s="4" t="n"/>
      <c r="C489" s="4" t="n"/>
      <c r="D489" s="5" t="n"/>
      <c r="E489" s="5" t="n"/>
      <c r="F489" s="5" t="n"/>
      <c r="G489" s="5" t="n"/>
      <c r="H489" s="5" t="n"/>
      <c r="I489" s="5" t="n"/>
      <c r="J489" s="5" t="n"/>
      <c r="K489" s="6" t="n"/>
      <c r="L489" s="6" t="n"/>
      <c r="M489" s="6" t="n"/>
      <c r="N489" s="5" t="n"/>
      <c r="O489" s="21" t="n"/>
      <c r="P489" s="5" t="n"/>
      <c r="Q489" s="5" t="n"/>
      <c r="R489" s="6" t="n"/>
      <c r="S489" s="4" t="n"/>
      <c r="T489" s="4" t="n"/>
      <c r="U489" s="3">
        <f>IF(C489="","",IF(T489="",TODAY()-C489,T489-C489))</f>
        <v/>
      </c>
      <c r="V489" s="5" t="n"/>
      <c r="W489" s="6" t="n"/>
      <c r="X489" s="3">
        <f>IF(P489="","",IFERROR(VLOOKUP(P489,Parâmetros!$J$2:$K$5,2,FALSE),""))</f>
        <v/>
      </c>
      <c r="Y489" s="4">
        <f>IF(OR(C489="",X489=""),"",C489+X489)</f>
        <v/>
      </c>
      <c r="Z489" s="5">
        <f>IF(C489="","",IF(Q489="Concluído","Concluído",IF(Y489&lt;TODAY(),"Vencido",IF(Y489-TODAY()&lt;=2,"A vencer","No prazo"))))</f>
        <v/>
      </c>
      <c r="AA489" s="3">
        <f>IF(OR(Y489="",Q489="Concluído"),"",Y489-TODAY())</f>
        <v/>
      </c>
      <c r="AB489" s="5" t="n"/>
      <c r="AC489" s="5" t="n"/>
      <c r="AD489" s="4" t="n"/>
    </row>
    <row r="490">
      <c r="A490" s="3">
        <f>IF(C490="","",ROW()-1)</f>
        <v/>
      </c>
      <c r="B490" s="4" t="n"/>
      <c r="C490" s="4" t="n"/>
      <c r="D490" s="5" t="n"/>
      <c r="E490" s="5" t="n"/>
      <c r="F490" s="5" t="n"/>
      <c r="G490" s="5" t="n"/>
      <c r="H490" s="5" t="n"/>
      <c r="I490" s="5" t="n"/>
      <c r="J490" s="5" t="n"/>
      <c r="K490" s="6" t="n"/>
      <c r="L490" s="6" t="n"/>
      <c r="M490" s="6" t="n"/>
      <c r="N490" s="5" t="n"/>
      <c r="O490" s="21" t="n"/>
      <c r="P490" s="5" t="n"/>
      <c r="Q490" s="5" t="n"/>
      <c r="R490" s="6" t="n"/>
      <c r="S490" s="4" t="n"/>
      <c r="T490" s="4" t="n"/>
      <c r="U490" s="3">
        <f>IF(C490="","",IF(T490="",TODAY()-C490,T490-C490))</f>
        <v/>
      </c>
      <c r="V490" s="5" t="n"/>
      <c r="W490" s="6" t="n"/>
      <c r="X490" s="3">
        <f>IF(P490="","",IFERROR(VLOOKUP(P490,Parâmetros!$J$2:$K$5,2,FALSE),""))</f>
        <v/>
      </c>
      <c r="Y490" s="4">
        <f>IF(OR(C490="",X490=""),"",C490+X490)</f>
        <v/>
      </c>
      <c r="Z490" s="5">
        <f>IF(C490="","",IF(Q490="Concluído","Concluído",IF(Y490&lt;TODAY(),"Vencido",IF(Y490-TODAY()&lt;=2,"A vencer","No prazo"))))</f>
        <v/>
      </c>
      <c r="AA490" s="3">
        <f>IF(OR(Y490="",Q490="Concluído"),"",Y490-TODAY())</f>
        <v/>
      </c>
      <c r="AB490" s="5" t="n"/>
      <c r="AC490" s="5" t="n"/>
      <c r="AD490" s="4" t="n"/>
    </row>
    <row r="491">
      <c r="A491" s="3">
        <f>IF(C491="","",ROW()-1)</f>
        <v/>
      </c>
      <c r="B491" s="4" t="n"/>
      <c r="C491" s="4" t="n"/>
      <c r="D491" s="5" t="n"/>
      <c r="E491" s="5" t="n"/>
      <c r="F491" s="5" t="n"/>
      <c r="G491" s="5" t="n"/>
      <c r="H491" s="5" t="n"/>
      <c r="I491" s="5" t="n"/>
      <c r="J491" s="5" t="n"/>
      <c r="K491" s="6" t="n"/>
      <c r="L491" s="6" t="n"/>
      <c r="M491" s="6" t="n"/>
      <c r="N491" s="5" t="n"/>
      <c r="O491" s="21" t="n"/>
      <c r="P491" s="5" t="n"/>
      <c r="Q491" s="5" t="n"/>
      <c r="R491" s="6" t="n"/>
      <c r="S491" s="4" t="n"/>
      <c r="T491" s="4" t="n"/>
      <c r="U491" s="3">
        <f>IF(C491="","",IF(T491="",TODAY()-C491,T491-C491))</f>
        <v/>
      </c>
      <c r="V491" s="5" t="n"/>
      <c r="W491" s="6" t="n"/>
      <c r="X491" s="3">
        <f>IF(P491="","",IFERROR(VLOOKUP(P491,Parâmetros!$J$2:$K$5,2,FALSE),""))</f>
        <v/>
      </c>
      <c r="Y491" s="4">
        <f>IF(OR(C491="",X491=""),"",C491+X491)</f>
        <v/>
      </c>
      <c r="Z491" s="5">
        <f>IF(C491="","",IF(Q491="Concluído","Concluído",IF(Y491&lt;TODAY(),"Vencido",IF(Y491-TODAY()&lt;=2,"A vencer","No prazo"))))</f>
        <v/>
      </c>
      <c r="AA491" s="3">
        <f>IF(OR(Y491="",Q491="Concluído"),"",Y491-TODAY())</f>
        <v/>
      </c>
      <c r="AB491" s="5" t="n"/>
      <c r="AC491" s="5" t="n"/>
      <c r="AD491" s="4" t="n"/>
    </row>
    <row r="492">
      <c r="A492" s="3">
        <f>IF(C492="","",ROW()-1)</f>
        <v/>
      </c>
      <c r="B492" s="4" t="n"/>
      <c r="C492" s="4" t="n"/>
      <c r="D492" s="5" t="n"/>
      <c r="E492" s="5" t="n"/>
      <c r="F492" s="5" t="n"/>
      <c r="G492" s="5" t="n"/>
      <c r="H492" s="5" t="n"/>
      <c r="I492" s="5" t="n"/>
      <c r="J492" s="5" t="n"/>
      <c r="K492" s="6" t="n"/>
      <c r="L492" s="6" t="n"/>
      <c r="M492" s="6" t="n"/>
      <c r="N492" s="5" t="n"/>
      <c r="O492" s="21" t="n"/>
      <c r="P492" s="5" t="n"/>
      <c r="Q492" s="5" t="n"/>
      <c r="R492" s="6" t="n"/>
      <c r="S492" s="4" t="n"/>
      <c r="T492" s="4" t="n"/>
      <c r="U492" s="3">
        <f>IF(C492="","",IF(T492="",TODAY()-C492,T492-C492))</f>
        <v/>
      </c>
      <c r="V492" s="5" t="n"/>
      <c r="W492" s="6" t="n"/>
      <c r="X492" s="3">
        <f>IF(P492="","",IFERROR(VLOOKUP(P492,Parâmetros!$J$2:$K$5,2,FALSE),""))</f>
        <v/>
      </c>
      <c r="Y492" s="4">
        <f>IF(OR(C492="",X492=""),"",C492+X492)</f>
        <v/>
      </c>
      <c r="Z492" s="5">
        <f>IF(C492="","",IF(Q492="Concluído","Concluído",IF(Y492&lt;TODAY(),"Vencido",IF(Y492-TODAY()&lt;=2,"A vencer","No prazo"))))</f>
        <v/>
      </c>
      <c r="AA492" s="3">
        <f>IF(OR(Y492="",Q492="Concluído"),"",Y492-TODAY())</f>
        <v/>
      </c>
      <c r="AB492" s="5" t="n"/>
      <c r="AC492" s="5" t="n"/>
      <c r="AD492" s="4" t="n"/>
    </row>
    <row r="493">
      <c r="A493" s="3">
        <f>IF(C493="","",ROW()-1)</f>
        <v/>
      </c>
      <c r="B493" s="4" t="n"/>
      <c r="C493" s="4" t="n"/>
      <c r="D493" s="5" t="n"/>
      <c r="E493" s="5" t="n"/>
      <c r="F493" s="5" t="n"/>
      <c r="G493" s="5" t="n"/>
      <c r="H493" s="5" t="n"/>
      <c r="I493" s="5" t="n"/>
      <c r="J493" s="5" t="n"/>
      <c r="K493" s="6" t="n"/>
      <c r="L493" s="6" t="n"/>
      <c r="M493" s="6" t="n"/>
      <c r="N493" s="5" t="n"/>
      <c r="O493" s="21" t="n"/>
      <c r="P493" s="5" t="n"/>
      <c r="Q493" s="5" t="n"/>
      <c r="R493" s="6" t="n"/>
      <c r="S493" s="4" t="n"/>
      <c r="T493" s="4" t="n"/>
      <c r="U493" s="3">
        <f>IF(C493="","",IF(T493="",TODAY()-C493,T493-C493))</f>
        <v/>
      </c>
      <c r="V493" s="5" t="n"/>
      <c r="W493" s="6" t="n"/>
      <c r="X493" s="3">
        <f>IF(P493="","",IFERROR(VLOOKUP(P493,Parâmetros!$J$2:$K$5,2,FALSE),""))</f>
        <v/>
      </c>
      <c r="Y493" s="4">
        <f>IF(OR(C493="",X493=""),"",C493+X493)</f>
        <v/>
      </c>
      <c r="Z493" s="5">
        <f>IF(C493="","",IF(Q493="Concluído","Concluído",IF(Y493&lt;TODAY(),"Vencido",IF(Y493-TODAY()&lt;=2,"A vencer","No prazo"))))</f>
        <v/>
      </c>
      <c r="AA493" s="3">
        <f>IF(OR(Y493="",Q493="Concluído"),"",Y493-TODAY())</f>
        <v/>
      </c>
      <c r="AB493" s="5" t="n"/>
      <c r="AC493" s="5" t="n"/>
      <c r="AD493" s="4" t="n"/>
    </row>
    <row r="494">
      <c r="A494" s="3">
        <f>IF(C494="","",ROW()-1)</f>
        <v/>
      </c>
      <c r="B494" s="4" t="n"/>
      <c r="C494" s="4" t="n"/>
      <c r="D494" s="5" t="n"/>
      <c r="E494" s="5" t="n"/>
      <c r="F494" s="5" t="n"/>
      <c r="G494" s="5" t="n"/>
      <c r="H494" s="5" t="n"/>
      <c r="I494" s="5" t="n"/>
      <c r="J494" s="5" t="n"/>
      <c r="K494" s="6" t="n"/>
      <c r="L494" s="6" t="n"/>
      <c r="M494" s="6" t="n"/>
      <c r="N494" s="5" t="n"/>
      <c r="O494" s="21" t="n"/>
      <c r="P494" s="5" t="n"/>
      <c r="Q494" s="5" t="n"/>
      <c r="R494" s="6" t="n"/>
      <c r="S494" s="4" t="n"/>
      <c r="T494" s="4" t="n"/>
      <c r="U494" s="3">
        <f>IF(C494="","",IF(T494="",TODAY()-C494,T494-C494))</f>
        <v/>
      </c>
      <c r="V494" s="5" t="n"/>
      <c r="W494" s="6" t="n"/>
      <c r="X494" s="3">
        <f>IF(P494="","",IFERROR(VLOOKUP(P494,Parâmetros!$J$2:$K$5,2,FALSE),""))</f>
        <v/>
      </c>
      <c r="Y494" s="4">
        <f>IF(OR(C494="",X494=""),"",C494+X494)</f>
        <v/>
      </c>
      <c r="Z494" s="5">
        <f>IF(C494="","",IF(Q494="Concluído","Concluído",IF(Y494&lt;TODAY(),"Vencido",IF(Y494-TODAY()&lt;=2,"A vencer","No prazo"))))</f>
        <v/>
      </c>
      <c r="AA494" s="3">
        <f>IF(OR(Y494="",Q494="Concluído"),"",Y494-TODAY())</f>
        <v/>
      </c>
      <c r="AB494" s="5" t="n"/>
      <c r="AC494" s="5" t="n"/>
      <c r="AD494" s="4" t="n"/>
    </row>
    <row r="495">
      <c r="A495" s="3">
        <f>IF(C495="","",ROW()-1)</f>
        <v/>
      </c>
      <c r="B495" s="4" t="n"/>
      <c r="C495" s="4" t="n"/>
      <c r="D495" s="5" t="n"/>
      <c r="E495" s="5" t="n"/>
      <c r="F495" s="5" t="n"/>
      <c r="G495" s="5" t="n"/>
      <c r="H495" s="5" t="n"/>
      <c r="I495" s="5" t="n"/>
      <c r="J495" s="5" t="n"/>
      <c r="K495" s="6" t="n"/>
      <c r="L495" s="6" t="n"/>
      <c r="M495" s="6" t="n"/>
      <c r="N495" s="5" t="n"/>
      <c r="O495" s="21" t="n"/>
      <c r="P495" s="5" t="n"/>
      <c r="Q495" s="5" t="n"/>
      <c r="R495" s="6" t="n"/>
      <c r="S495" s="4" t="n"/>
      <c r="T495" s="4" t="n"/>
      <c r="U495" s="3">
        <f>IF(C495="","",IF(T495="",TODAY()-C495,T495-C495))</f>
        <v/>
      </c>
      <c r="V495" s="5" t="n"/>
      <c r="W495" s="6" t="n"/>
      <c r="X495" s="3">
        <f>IF(P495="","",IFERROR(VLOOKUP(P495,Parâmetros!$J$2:$K$5,2,FALSE),""))</f>
        <v/>
      </c>
      <c r="Y495" s="4">
        <f>IF(OR(C495="",X495=""),"",C495+X495)</f>
        <v/>
      </c>
      <c r="Z495" s="5">
        <f>IF(C495="","",IF(Q495="Concluído","Concluído",IF(Y495&lt;TODAY(),"Vencido",IF(Y495-TODAY()&lt;=2,"A vencer","No prazo"))))</f>
        <v/>
      </c>
      <c r="AA495" s="3">
        <f>IF(OR(Y495="",Q495="Concluído"),"",Y495-TODAY())</f>
        <v/>
      </c>
      <c r="AB495" s="5" t="n"/>
      <c r="AC495" s="5" t="n"/>
      <c r="AD495" s="4" t="n"/>
    </row>
    <row r="496">
      <c r="A496" s="3">
        <f>IF(C496="","",ROW()-1)</f>
        <v/>
      </c>
      <c r="B496" s="4" t="n"/>
      <c r="C496" s="4" t="n"/>
      <c r="D496" s="5" t="n"/>
      <c r="E496" s="5" t="n"/>
      <c r="F496" s="5" t="n"/>
      <c r="G496" s="5" t="n"/>
      <c r="H496" s="5" t="n"/>
      <c r="I496" s="5" t="n"/>
      <c r="J496" s="5" t="n"/>
      <c r="K496" s="6" t="n"/>
      <c r="L496" s="6" t="n"/>
      <c r="M496" s="6" t="n"/>
      <c r="N496" s="5" t="n"/>
      <c r="O496" s="21" t="n"/>
      <c r="P496" s="5" t="n"/>
      <c r="Q496" s="5" t="n"/>
      <c r="R496" s="6" t="n"/>
      <c r="S496" s="4" t="n"/>
      <c r="T496" s="4" t="n"/>
      <c r="U496" s="3">
        <f>IF(C496="","",IF(T496="",TODAY()-C496,T496-C496))</f>
        <v/>
      </c>
      <c r="V496" s="5" t="n"/>
      <c r="W496" s="6" t="n"/>
      <c r="X496" s="3">
        <f>IF(P496="","",IFERROR(VLOOKUP(P496,Parâmetros!$J$2:$K$5,2,FALSE),""))</f>
        <v/>
      </c>
      <c r="Y496" s="4">
        <f>IF(OR(C496="",X496=""),"",C496+X496)</f>
        <v/>
      </c>
      <c r="Z496" s="5">
        <f>IF(C496="","",IF(Q496="Concluído","Concluído",IF(Y496&lt;TODAY(),"Vencido",IF(Y496-TODAY()&lt;=2,"A vencer","No prazo"))))</f>
        <v/>
      </c>
      <c r="AA496" s="3">
        <f>IF(OR(Y496="",Q496="Concluído"),"",Y496-TODAY())</f>
        <v/>
      </c>
      <c r="AB496" s="5" t="n"/>
      <c r="AC496" s="5" t="n"/>
      <c r="AD496" s="4" t="n"/>
    </row>
    <row r="497">
      <c r="A497" s="3">
        <f>IF(C497="","",ROW()-1)</f>
        <v/>
      </c>
      <c r="B497" s="4" t="n"/>
      <c r="C497" s="4" t="n"/>
      <c r="D497" s="5" t="n"/>
      <c r="E497" s="5" t="n"/>
      <c r="F497" s="5" t="n"/>
      <c r="G497" s="5" t="n"/>
      <c r="H497" s="5" t="n"/>
      <c r="I497" s="5" t="n"/>
      <c r="J497" s="5" t="n"/>
      <c r="K497" s="6" t="n"/>
      <c r="L497" s="6" t="n"/>
      <c r="M497" s="6" t="n"/>
      <c r="N497" s="5" t="n"/>
      <c r="O497" s="21" t="n"/>
      <c r="P497" s="5" t="n"/>
      <c r="Q497" s="5" t="n"/>
      <c r="R497" s="6" t="n"/>
      <c r="S497" s="4" t="n"/>
      <c r="T497" s="4" t="n"/>
      <c r="U497" s="3">
        <f>IF(C497="","",IF(T497="",TODAY()-C497,T497-C497))</f>
        <v/>
      </c>
      <c r="V497" s="5" t="n"/>
      <c r="W497" s="6" t="n"/>
      <c r="X497" s="3">
        <f>IF(P497="","",IFERROR(VLOOKUP(P497,Parâmetros!$J$2:$K$5,2,FALSE),""))</f>
        <v/>
      </c>
      <c r="Y497" s="4">
        <f>IF(OR(C497="",X497=""),"",C497+X497)</f>
        <v/>
      </c>
      <c r="Z497" s="5">
        <f>IF(C497="","",IF(Q497="Concluído","Concluído",IF(Y497&lt;TODAY(),"Vencido",IF(Y497-TODAY()&lt;=2,"A vencer","No prazo"))))</f>
        <v/>
      </c>
      <c r="AA497" s="3">
        <f>IF(OR(Y497="",Q497="Concluído"),"",Y497-TODAY())</f>
        <v/>
      </c>
      <c r="AB497" s="5" t="n"/>
      <c r="AC497" s="5" t="n"/>
      <c r="AD497" s="4" t="n"/>
    </row>
    <row r="498">
      <c r="A498" s="3">
        <f>IF(C498="","",ROW()-1)</f>
        <v/>
      </c>
      <c r="B498" s="4" t="n"/>
      <c r="C498" s="4" t="n"/>
      <c r="D498" s="5" t="n"/>
      <c r="E498" s="5" t="n"/>
      <c r="F498" s="5" t="n"/>
      <c r="G498" s="5" t="n"/>
      <c r="H498" s="5" t="n"/>
      <c r="I498" s="5" t="n"/>
      <c r="J498" s="5" t="n"/>
      <c r="K498" s="6" t="n"/>
      <c r="L498" s="6" t="n"/>
      <c r="M498" s="6" t="n"/>
      <c r="N498" s="5" t="n"/>
      <c r="O498" s="21" t="n"/>
      <c r="P498" s="5" t="n"/>
      <c r="Q498" s="5" t="n"/>
      <c r="R498" s="6" t="n"/>
      <c r="S498" s="4" t="n"/>
      <c r="T498" s="4" t="n"/>
      <c r="U498" s="3">
        <f>IF(C498="","",IF(T498="",TODAY()-C498,T498-C498))</f>
        <v/>
      </c>
      <c r="V498" s="5" t="n"/>
      <c r="W498" s="6" t="n"/>
      <c r="X498" s="3">
        <f>IF(P498="","",IFERROR(VLOOKUP(P498,Parâmetros!$J$2:$K$5,2,FALSE),""))</f>
        <v/>
      </c>
      <c r="Y498" s="4">
        <f>IF(OR(C498="",X498=""),"",C498+X498)</f>
        <v/>
      </c>
      <c r="Z498" s="5">
        <f>IF(C498="","",IF(Q498="Concluído","Concluído",IF(Y498&lt;TODAY(),"Vencido",IF(Y498-TODAY()&lt;=2,"A vencer","No prazo"))))</f>
        <v/>
      </c>
      <c r="AA498" s="3">
        <f>IF(OR(Y498="",Q498="Concluído"),"",Y498-TODAY())</f>
        <v/>
      </c>
      <c r="AB498" s="5" t="n"/>
      <c r="AC498" s="5" t="n"/>
      <c r="AD498" s="4" t="n"/>
    </row>
    <row r="499">
      <c r="A499" s="3">
        <f>IF(C499="","",ROW()-1)</f>
        <v/>
      </c>
      <c r="B499" s="4" t="n"/>
      <c r="C499" s="4" t="n"/>
      <c r="D499" s="5" t="n"/>
      <c r="E499" s="5" t="n"/>
      <c r="F499" s="5" t="n"/>
      <c r="G499" s="5" t="n"/>
      <c r="H499" s="5" t="n"/>
      <c r="I499" s="5" t="n"/>
      <c r="J499" s="5" t="n"/>
      <c r="K499" s="6" t="n"/>
      <c r="L499" s="6" t="n"/>
      <c r="M499" s="6" t="n"/>
      <c r="N499" s="5" t="n"/>
      <c r="O499" s="21" t="n"/>
      <c r="P499" s="5" t="n"/>
      <c r="Q499" s="5" t="n"/>
      <c r="R499" s="6" t="n"/>
      <c r="S499" s="4" t="n"/>
      <c r="T499" s="4" t="n"/>
      <c r="U499" s="3">
        <f>IF(C499="","",IF(T499="",TODAY()-C499,T499-C499))</f>
        <v/>
      </c>
      <c r="V499" s="5" t="n"/>
      <c r="W499" s="6" t="n"/>
      <c r="X499" s="3">
        <f>IF(P499="","",IFERROR(VLOOKUP(P499,Parâmetros!$J$2:$K$5,2,FALSE),""))</f>
        <v/>
      </c>
      <c r="Y499" s="4">
        <f>IF(OR(C499="",X499=""),"",C499+X499)</f>
        <v/>
      </c>
      <c r="Z499" s="5">
        <f>IF(C499="","",IF(Q499="Concluído","Concluído",IF(Y499&lt;TODAY(),"Vencido",IF(Y499-TODAY()&lt;=2,"A vencer","No prazo"))))</f>
        <v/>
      </c>
      <c r="AA499" s="3">
        <f>IF(OR(Y499="",Q499="Concluído"),"",Y499-TODAY())</f>
        <v/>
      </c>
      <c r="AB499" s="5" t="n"/>
      <c r="AC499" s="5" t="n"/>
      <c r="AD499" s="4" t="n"/>
    </row>
    <row r="500">
      <c r="A500" s="3">
        <f>IF(C500="","",ROW()-1)</f>
        <v/>
      </c>
      <c r="B500" s="4" t="n"/>
      <c r="C500" s="4" t="n"/>
      <c r="D500" s="5" t="n"/>
      <c r="E500" s="5" t="n"/>
      <c r="F500" s="5" t="n"/>
      <c r="G500" s="5" t="n"/>
      <c r="H500" s="5" t="n"/>
      <c r="I500" s="5" t="n"/>
      <c r="J500" s="5" t="n"/>
      <c r="K500" s="6" t="n"/>
      <c r="L500" s="6" t="n"/>
      <c r="M500" s="6" t="n"/>
      <c r="N500" s="5" t="n"/>
      <c r="O500" s="21" t="n"/>
      <c r="P500" s="5" t="n"/>
      <c r="Q500" s="5" t="n"/>
      <c r="R500" s="6" t="n"/>
      <c r="S500" s="4" t="n"/>
      <c r="T500" s="4" t="n"/>
      <c r="U500" s="3">
        <f>IF(C500="","",IF(T500="",TODAY()-C500,T500-C500))</f>
        <v/>
      </c>
      <c r="V500" s="5" t="n"/>
      <c r="W500" s="6" t="n"/>
      <c r="X500" s="3">
        <f>IF(P500="","",IFERROR(VLOOKUP(P500,Parâmetros!$J$2:$K$5,2,FALSE),""))</f>
        <v/>
      </c>
      <c r="Y500" s="4">
        <f>IF(OR(C500="",X500=""),"",C500+X500)</f>
        <v/>
      </c>
      <c r="Z500" s="5">
        <f>IF(C500="","",IF(Q500="Concluído","Concluído",IF(Y500&lt;TODAY(),"Vencido",IF(Y500-TODAY()&lt;=2,"A vencer","No prazo"))))</f>
        <v/>
      </c>
      <c r="AA500" s="3">
        <f>IF(OR(Y500="",Q500="Concluído"),"",Y500-TODAY())</f>
        <v/>
      </c>
      <c r="AB500" s="5" t="n"/>
      <c r="AC500" s="5" t="n"/>
      <c r="AD500" s="4" t="n"/>
    </row>
    <row r="501">
      <c r="A501" s="3">
        <f>IF(C501="","",ROW()-1)</f>
        <v/>
      </c>
      <c r="B501" s="4" t="n"/>
      <c r="C501" s="4" t="n"/>
      <c r="D501" s="5" t="n"/>
      <c r="E501" s="5" t="n"/>
      <c r="F501" s="5" t="n"/>
      <c r="G501" s="5" t="n"/>
      <c r="H501" s="5" t="n"/>
      <c r="I501" s="5" t="n"/>
      <c r="J501" s="5" t="n"/>
      <c r="K501" s="6" t="n"/>
      <c r="L501" s="6" t="n"/>
      <c r="M501" s="6" t="n"/>
      <c r="N501" s="5" t="n"/>
      <c r="O501" s="21" t="n"/>
      <c r="P501" s="5" t="n"/>
      <c r="Q501" s="5" t="n"/>
      <c r="R501" s="6" t="n"/>
      <c r="S501" s="4" t="n"/>
      <c r="T501" s="4" t="n"/>
      <c r="U501" s="3">
        <f>IF(C501="","",IF(T501="",TODAY()-C501,T501-C501))</f>
        <v/>
      </c>
      <c r="V501" s="5" t="n"/>
      <c r="W501" s="6" t="n"/>
      <c r="X501" s="3">
        <f>IF(P501="","",IFERROR(VLOOKUP(P501,Parâmetros!$J$2:$K$5,2,FALSE),""))</f>
        <v/>
      </c>
      <c r="Y501" s="4">
        <f>IF(OR(C501="",X501=""),"",C501+X501)</f>
        <v/>
      </c>
      <c r="Z501" s="5">
        <f>IF(C501="","",IF(Q501="Concluído","Concluído",IF(Y501&lt;TODAY(),"Vencido",IF(Y501-TODAY()&lt;=2,"A vencer","No prazo"))))</f>
        <v/>
      </c>
      <c r="AA501" s="3">
        <f>IF(OR(Y501="",Q501="Concluído"),"",Y501-TODAY())</f>
        <v/>
      </c>
      <c r="AB501" s="5" t="n"/>
      <c r="AC501" s="5" t="n"/>
      <c r="AD501" s="4" t="n"/>
    </row>
    <row r="502">
      <c r="A502" s="3">
        <f>IF(C502="","",ROW()-1)</f>
        <v/>
      </c>
      <c r="B502" s="4" t="n"/>
      <c r="C502" s="4" t="n"/>
      <c r="D502" s="5" t="n"/>
      <c r="E502" s="5" t="n"/>
      <c r="F502" s="5" t="n"/>
      <c r="G502" s="5" t="n"/>
      <c r="H502" s="5" t="n"/>
      <c r="I502" s="5" t="n"/>
      <c r="J502" s="5" t="n"/>
      <c r="K502" s="6" t="n"/>
      <c r="L502" s="6" t="n"/>
      <c r="M502" s="6" t="n"/>
      <c r="N502" s="5" t="n"/>
      <c r="O502" s="21" t="n"/>
      <c r="P502" s="5" t="n"/>
      <c r="Q502" s="5" t="n"/>
      <c r="R502" s="6" t="n"/>
      <c r="S502" s="4" t="n"/>
      <c r="T502" s="4" t="n"/>
      <c r="U502" s="3">
        <f>IF(C502="","",IF(T502="",TODAY()-C502,T502-C502))</f>
        <v/>
      </c>
      <c r="V502" s="5" t="n"/>
      <c r="W502" s="6" t="n"/>
      <c r="X502" s="3">
        <f>IF(P502="","",IFERROR(VLOOKUP(P502,Parâmetros!$J$2:$K$5,2,FALSE),""))</f>
        <v/>
      </c>
      <c r="Y502" s="4">
        <f>IF(OR(C502="",X502=""),"",C502+X502)</f>
        <v/>
      </c>
      <c r="Z502" s="5">
        <f>IF(C502="","",IF(Q502="Concluído","Concluído",IF(Y502&lt;TODAY(),"Vencido",IF(Y502-TODAY()&lt;=2,"A vencer","No prazo"))))</f>
        <v/>
      </c>
      <c r="AA502" s="3">
        <f>IF(OR(Y502="",Q502="Concluído"),"",Y502-TODAY())</f>
        <v/>
      </c>
      <c r="AB502" s="5" t="n"/>
      <c r="AC502" s="5" t="n"/>
      <c r="AD502" s="4" t="n"/>
    </row>
    <row r="503">
      <c r="A503" s="3">
        <f>IF(C503="","",ROW()-1)</f>
        <v/>
      </c>
      <c r="B503" s="4" t="n"/>
      <c r="C503" s="4" t="n"/>
      <c r="D503" s="5" t="n"/>
      <c r="E503" s="5" t="n"/>
      <c r="F503" s="5" t="n"/>
      <c r="G503" s="5" t="n"/>
      <c r="H503" s="5" t="n"/>
      <c r="I503" s="5" t="n"/>
      <c r="J503" s="5" t="n"/>
      <c r="K503" s="6" t="n"/>
      <c r="L503" s="6" t="n"/>
      <c r="M503" s="6" t="n"/>
      <c r="N503" s="5" t="n"/>
      <c r="O503" s="21" t="n"/>
      <c r="P503" s="5" t="n"/>
      <c r="Q503" s="5" t="n"/>
      <c r="R503" s="6" t="n"/>
      <c r="S503" s="4" t="n"/>
      <c r="T503" s="4" t="n"/>
      <c r="U503" s="3">
        <f>IF(C503="","",IF(T503="",TODAY()-C503,T503-C503))</f>
        <v/>
      </c>
      <c r="V503" s="5" t="n"/>
      <c r="W503" s="6" t="n"/>
      <c r="X503" s="3">
        <f>IF(P503="","",IFERROR(VLOOKUP(P503,Parâmetros!$J$2:$K$5,2,FALSE),""))</f>
        <v/>
      </c>
      <c r="Y503" s="4">
        <f>IF(OR(C503="",X503=""),"",C503+X503)</f>
        <v/>
      </c>
      <c r="Z503" s="5">
        <f>IF(C503="","",IF(Q503="Concluído","Concluído",IF(Y503&lt;TODAY(),"Vencido",IF(Y503-TODAY()&lt;=2,"A vencer","No prazo"))))</f>
        <v/>
      </c>
      <c r="AA503" s="3">
        <f>IF(OR(Y503="",Q503="Concluído"),"",Y503-TODAY())</f>
        <v/>
      </c>
      <c r="AB503" s="5" t="n"/>
      <c r="AC503" s="5" t="n"/>
      <c r="AD503" s="4" t="n"/>
    </row>
    <row r="504">
      <c r="A504" s="3">
        <f>IF(C504="","",ROW()-1)</f>
        <v/>
      </c>
      <c r="B504" s="4" t="n"/>
      <c r="C504" s="4" t="n"/>
      <c r="D504" s="5" t="n"/>
      <c r="E504" s="5" t="n"/>
      <c r="F504" s="5" t="n"/>
      <c r="G504" s="5" t="n"/>
      <c r="H504" s="5" t="n"/>
      <c r="I504" s="5" t="n"/>
      <c r="J504" s="5" t="n"/>
      <c r="K504" s="6" t="n"/>
      <c r="L504" s="6" t="n"/>
      <c r="M504" s="6" t="n"/>
      <c r="N504" s="5" t="n"/>
      <c r="O504" s="21" t="n"/>
      <c r="P504" s="5" t="n"/>
      <c r="Q504" s="5" t="n"/>
      <c r="R504" s="6" t="n"/>
      <c r="S504" s="4" t="n"/>
      <c r="T504" s="4" t="n"/>
      <c r="U504" s="3">
        <f>IF(C504="","",IF(T504="",TODAY()-C504,T504-C504))</f>
        <v/>
      </c>
      <c r="V504" s="5" t="n"/>
      <c r="W504" s="6" t="n"/>
      <c r="X504" s="3">
        <f>IF(P504="","",IFERROR(VLOOKUP(P504,Parâmetros!$J$2:$K$5,2,FALSE),""))</f>
        <v/>
      </c>
      <c r="Y504" s="4">
        <f>IF(OR(C504="",X504=""),"",C504+X504)</f>
        <v/>
      </c>
      <c r="Z504" s="5">
        <f>IF(C504="","",IF(Q504="Concluído","Concluído",IF(Y504&lt;TODAY(),"Vencido",IF(Y504-TODAY()&lt;=2,"A vencer","No prazo"))))</f>
        <v/>
      </c>
      <c r="AA504" s="3">
        <f>IF(OR(Y504="",Q504="Concluído"),"",Y504-TODAY())</f>
        <v/>
      </c>
      <c r="AB504" s="5" t="n"/>
      <c r="AC504" s="5" t="n"/>
      <c r="AD504" s="4" t="n"/>
    </row>
    <row r="505">
      <c r="A505" s="3">
        <f>IF(C505="","",ROW()-1)</f>
        <v/>
      </c>
      <c r="B505" s="4" t="n"/>
      <c r="C505" s="4" t="n"/>
      <c r="D505" s="5" t="n"/>
      <c r="E505" s="5" t="n"/>
      <c r="F505" s="5" t="n"/>
      <c r="G505" s="5" t="n"/>
      <c r="H505" s="5" t="n"/>
      <c r="I505" s="5" t="n"/>
      <c r="J505" s="5" t="n"/>
      <c r="K505" s="6" t="n"/>
      <c r="L505" s="6" t="n"/>
      <c r="M505" s="6" t="n"/>
      <c r="N505" s="5" t="n"/>
      <c r="O505" s="21" t="n"/>
      <c r="P505" s="5" t="n"/>
      <c r="Q505" s="5" t="n"/>
      <c r="R505" s="6" t="n"/>
      <c r="S505" s="4" t="n"/>
      <c r="T505" s="4" t="n"/>
      <c r="U505" s="3">
        <f>IF(C505="","",IF(T505="",TODAY()-C505,T505-C505))</f>
        <v/>
      </c>
      <c r="V505" s="5" t="n"/>
      <c r="W505" s="6" t="n"/>
      <c r="X505" s="3">
        <f>IF(P505="","",IFERROR(VLOOKUP(P505,Parâmetros!$J$2:$K$5,2,FALSE),""))</f>
        <v/>
      </c>
      <c r="Y505" s="4">
        <f>IF(OR(C505="",X505=""),"",C505+X505)</f>
        <v/>
      </c>
      <c r="Z505" s="5">
        <f>IF(C505="","",IF(Q505="Concluído","Concluído",IF(Y505&lt;TODAY(),"Vencido",IF(Y505-TODAY()&lt;=2,"A vencer","No prazo"))))</f>
        <v/>
      </c>
      <c r="AA505" s="3">
        <f>IF(OR(Y505="",Q505="Concluído"),"",Y505-TODAY())</f>
        <v/>
      </c>
      <c r="AB505" s="5" t="n"/>
      <c r="AC505" s="5" t="n"/>
      <c r="AD505" s="4" t="n"/>
    </row>
    <row r="506">
      <c r="A506" s="3">
        <f>IF(C506="","",ROW()-1)</f>
        <v/>
      </c>
      <c r="B506" s="4" t="n"/>
      <c r="C506" s="4" t="n"/>
      <c r="D506" s="5" t="n"/>
      <c r="E506" s="5" t="n"/>
      <c r="F506" s="5" t="n"/>
      <c r="G506" s="5" t="n"/>
      <c r="H506" s="5" t="n"/>
      <c r="I506" s="5" t="n"/>
      <c r="J506" s="5" t="n"/>
      <c r="K506" s="6" t="n"/>
      <c r="L506" s="6" t="n"/>
      <c r="M506" s="6" t="n"/>
      <c r="N506" s="5" t="n"/>
      <c r="O506" s="21" t="n"/>
      <c r="P506" s="5" t="n"/>
      <c r="Q506" s="5" t="n"/>
      <c r="R506" s="6" t="n"/>
      <c r="S506" s="4" t="n"/>
      <c r="T506" s="4" t="n"/>
      <c r="U506" s="3">
        <f>IF(C506="","",IF(T506="",TODAY()-C506,T506-C506))</f>
        <v/>
      </c>
      <c r="V506" s="5" t="n"/>
      <c r="W506" s="6" t="n"/>
      <c r="X506" s="3">
        <f>IF(P506="","",IFERROR(VLOOKUP(P506,Parâmetros!$J$2:$K$5,2,FALSE),""))</f>
        <v/>
      </c>
      <c r="Y506" s="4">
        <f>IF(OR(C506="",X506=""),"",C506+X506)</f>
        <v/>
      </c>
      <c r="Z506" s="5">
        <f>IF(C506="","",IF(Q506="Concluído","Concluído",IF(Y506&lt;TODAY(),"Vencido",IF(Y506-TODAY()&lt;=2,"A vencer","No prazo"))))</f>
        <v/>
      </c>
      <c r="AA506" s="3">
        <f>IF(OR(Y506="",Q506="Concluído"),"",Y506-TODAY())</f>
        <v/>
      </c>
      <c r="AB506" s="5" t="n"/>
      <c r="AC506" s="5" t="n"/>
      <c r="AD506" s="4" t="n"/>
    </row>
    <row r="507">
      <c r="A507" s="3">
        <f>IF(C507="","",ROW()-1)</f>
        <v/>
      </c>
      <c r="B507" s="4" t="n"/>
      <c r="C507" s="4" t="n"/>
      <c r="D507" s="5" t="n"/>
      <c r="E507" s="5" t="n"/>
      <c r="F507" s="5" t="n"/>
      <c r="G507" s="5" t="n"/>
      <c r="H507" s="5" t="n"/>
      <c r="I507" s="5" t="n"/>
      <c r="J507" s="5" t="n"/>
      <c r="K507" s="6" t="n"/>
      <c r="L507" s="6" t="n"/>
      <c r="M507" s="6" t="n"/>
      <c r="N507" s="5" t="n"/>
      <c r="O507" s="21" t="n"/>
      <c r="P507" s="5" t="n"/>
      <c r="Q507" s="5" t="n"/>
      <c r="R507" s="6" t="n"/>
      <c r="S507" s="4" t="n"/>
      <c r="T507" s="4" t="n"/>
      <c r="U507" s="3">
        <f>IF(C507="","",IF(T507="",TODAY()-C507,T507-C507))</f>
        <v/>
      </c>
      <c r="V507" s="5" t="n"/>
      <c r="W507" s="6" t="n"/>
      <c r="X507" s="3">
        <f>IF(P507="","",IFERROR(VLOOKUP(P507,Parâmetros!$J$2:$K$5,2,FALSE),""))</f>
        <v/>
      </c>
      <c r="Y507" s="4">
        <f>IF(OR(C507="",X507=""),"",C507+X507)</f>
        <v/>
      </c>
      <c r="Z507" s="5">
        <f>IF(C507="","",IF(Q507="Concluído","Concluído",IF(Y507&lt;TODAY(),"Vencido",IF(Y507-TODAY()&lt;=2,"A vencer","No prazo"))))</f>
        <v/>
      </c>
      <c r="AA507" s="3">
        <f>IF(OR(Y507="",Q507="Concluído"),"",Y507-TODAY())</f>
        <v/>
      </c>
      <c r="AB507" s="5" t="n"/>
      <c r="AC507" s="5" t="n"/>
      <c r="AD507" s="4" t="n"/>
    </row>
    <row r="508">
      <c r="A508" s="3">
        <f>IF(C508="","",ROW()-1)</f>
        <v/>
      </c>
      <c r="B508" s="4" t="n"/>
      <c r="C508" s="4" t="n"/>
      <c r="D508" s="5" t="n"/>
      <c r="E508" s="5" t="n"/>
      <c r="F508" s="5" t="n"/>
      <c r="G508" s="5" t="n"/>
      <c r="H508" s="5" t="n"/>
      <c r="I508" s="5" t="n"/>
      <c r="J508" s="5" t="n"/>
      <c r="K508" s="6" t="n"/>
      <c r="L508" s="6" t="n"/>
      <c r="M508" s="6" t="n"/>
      <c r="N508" s="5" t="n"/>
      <c r="O508" s="21" t="n"/>
      <c r="P508" s="5" t="n"/>
      <c r="Q508" s="5" t="n"/>
      <c r="R508" s="6" t="n"/>
      <c r="S508" s="4" t="n"/>
      <c r="T508" s="4" t="n"/>
      <c r="U508" s="3">
        <f>IF(C508="","",IF(T508="",TODAY()-C508,T508-C508))</f>
        <v/>
      </c>
      <c r="V508" s="5" t="n"/>
      <c r="W508" s="6" t="n"/>
      <c r="X508" s="3">
        <f>IF(P508="","",IFERROR(VLOOKUP(P508,Parâmetros!$J$2:$K$5,2,FALSE),""))</f>
        <v/>
      </c>
      <c r="Y508" s="4">
        <f>IF(OR(C508="",X508=""),"",C508+X508)</f>
        <v/>
      </c>
      <c r="Z508" s="5">
        <f>IF(C508="","",IF(Q508="Concluído","Concluído",IF(Y508&lt;TODAY(),"Vencido",IF(Y508-TODAY()&lt;=2,"A vencer","No prazo"))))</f>
        <v/>
      </c>
      <c r="AA508" s="3">
        <f>IF(OR(Y508="",Q508="Concluído"),"",Y508-TODAY())</f>
        <v/>
      </c>
      <c r="AB508" s="5" t="n"/>
      <c r="AC508" s="5" t="n"/>
      <c r="AD508" s="4" t="n"/>
    </row>
    <row r="509">
      <c r="A509" s="3">
        <f>IF(C509="","",ROW()-1)</f>
        <v/>
      </c>
      <c r="B509" s="4" t="n"/>
      <c r="C509" s="4" t="n"/>
      <c r="D509" s="5" t="n"/>
      <c r="E509" s="5" t="n"/>
      <c r="F509" s="5" t="n"/>
      <c r="G509" s="5" t="n"/>
      <c r="H509" s="5" t="n"/>
      <c r="I509" s="5" t="n"/>
      <c r="J509" s="5" t="n"/>
      <c r="K509" s="6" t="n"/>
      <c r="L509" s="6" t="n"/>
      <c r="M509" s="6" t="n"/>
      <c r="N509" s="5" t="n"/>
      <c r="O509" s="21" t="n"/>
      <c r="P509" s="5" t="n"/>
      <c r="Q509" s="5" t="n"/>
      <c r="R509" s="6" t="n"/>
      <c r="S509" s="4" t="n"/>
      <c r="T509" s="4" t="n"/>
      <c r="U509" s="3">
        <f>IF(C509="","",IF(T509="",TODAY()-C509,T509-C509))</f>
        <v/>
      </c>
      <c r="V509" s="5" t="n"/>
      <c r="W509" s="6" t="n"/>
      <c r="X509" s="3">
        <f>IF(P509="","",IFERROR(VLOOKUP(P509,Parâmetros!$J$2:$K$5,2,FALSE),""))</f>
        <v/>
      </c>
      <c r="Y509" s="4">
        <f>IF(OR(C509="",X509=""),"",C509+X509)</f>
        <v/>
      </c>
      <c r="Z509" s="5">
        <f>IF(C509="","",IF(Q509="Concluído","Concluído",IF(Y509&lt;TODAY(),"Vencido",IF(Y509-TODAY()&lt;=2,"A vencer","No prazo"))))</f>
        <v/>
      </c>
      <c r="AA509" s="3">
        <f>IF(OR(Y509="",Q509="Concluído"),"",Y509-TODAY())</f>
        <v/>
      </c>
      <c r="AB509" s="5" t="n"/>
      <c r="AC509" s="5" t="n"/>
      <c r="AD509" s="4" t="n"/>
    </row>
    <row r="510">
      <c r="A510" s="3">
        <f>IF(C510="","",ROW()-1)</f>
        <v/>
      </c>
      <c r="B510" s="4" t="n"/>
      <c r="C510" s="4" t="n"/>
      <c r="D510" s="5" t="n"/>
      <c r="E510" s="5" t="n"/>
      <c r="F510" s="5" t="n"/>
      <c r="G510" s="5" t="n"/>
      <c r="H510" s="5" t="n"/>
      <c r="I510" s="5" t="n"/>
      <c r="J510" s="5" t="n"/>
      <c r="K510" s="6" t="n"/>
      <c r="L510" s="6" t="n"/>
      <c r="M510" s="6" t="n"/>
      <c r="N510" s="5" t="n"/>
      <c r="O510" s="21" t="n"/>
      <c r="P510" s="5" t="n"/>
      <c r="Q510" s="5" t="n"/>
      <c r="R510" s="6" t="n"/>
      <c r="S510" s="4" t="n"/>
      <c r="T510" s="4" t="n"/>
      <c r="U510" s="3">
        <f>IF(C510="","",IF(T510="",TODAY()-C510,T510-C510))</f>
        <v/>
      </c>
      <c r="V510" s="5" t="n"/>
      <c r="W510" s="6" t="n"/>
      <c r="X510" s="3">
        <f>IF(P510="","",IFERROR(VLOOKUP(P510,Parâmetros!$J$2:$K$5,2,FALSE),""))</f>
        <v/>
      </c>
      <c r="Y510" s="4">
        <f>IF(OR(C510="",X510=""),"",C510+X510)</f>
        <v/>
      </c>
      <c r="Z510" s="5">
        <f>IF(C510="","",IF(Q510="Concluído","Concluído",IF(Y510&lt;TODAY(),"Vencido",IF(Y510-TODAY()&lt;=2,"A vencer","No prazo"))))</f>
        <v/>
      </c>
      <c r="AA510" s="3">
        <f>IF(OR(Y510="",Q510="Concluído"),"",Y510-TODAY())</f>
        <v/>
      </c>
      <c r="AB510" s="5" t="n"/>
      <c r="AC510" s="5" t="n"/>
      <c r="AD510" s="4" t="n"/>
    </row>
    <row r="511">
      <c r="A511" s="3">
        <f>IF(C511="","",ROW()-1)</f>
        <v/>
      </c>
      <c r="B511" s="4" t="n"/>
      <c r="C511" s="4" t="n"/>
      <c r="D511" s="5" t="n"/>
      <c r="E511" s="5" t="n"/>
      <c r="F511" s="5" t="n"/>
      <c r="G511" s="5" t="n"/>
      <c r="H511" s="5" t="n"/>
      <c r="I511" s="5" t="n"/>
      <c r="J511" s="5" t="n"/>
      <c r="K511" s="6" t="n"/>
      <c r="L511" s="6" t="n"/>
      <c r="M511" s="6" t="n"/>
      <c r="N511" s="5" t="n"/>
      <c r="O511" s="21" t="n"/>
      <c r="P511" s="5" t="n"/>
      <c r="Q511" s="5" t="n"/>
      <c r="R511" s="6" t="n"/>
      <c r="S511" s="4" t="n"/>
      <c r="T511" s="4" t="n"/>
      <c r="U511" s="3">
        <f>IF(C511="","",IF(T511="",TODAY()-C511,T511-C511))</f>
        <v/>
      </c>
      <c r="V511" s="5" t="n"/>
      <c r="W511" s="6" t="n"/>
      <c r="X511" s="3">
        <f>IF(P511="","",IFERROR(VLOOKUP(P511,Parâmetros!$J$2:$K$5,2,FALSE),""))</f>
        <v/>
      </c>
      <c r="Y511" s="4">
        <f>IF(OR(C511="",X511=""),"",C511+X511)</f>
        <v/>
      </c>
      <c r="Z511" s="5">
        <f>IF(C511="","",IF(Q511="Concluído","Concluído",IF(Y511&lt;TODAY(),"Vencido",IF(Y511-TODAY()&lt;=2,"A vencer","No prazo"))))</f>
        <v/>
      </c>
      <c r="AA511" s="3">
        <f>IF(OR(Y511="",Q511="Concluído"),"",Y511-TODAY())</f>
        <v/>
      </c>
      <c r="AB511" s="5" t="n"/>
      <c r="AC511" s="5" t="n"/>
      <c r="AD511" s="4" t="n"/>
    </row>
    <row r="512">
      <c r="A512" s="3">
        <f>IF(C512="","",ROW()-1)</f>
        <v/>
      </c>
      <c r="B512" s="4" t="n"/>
      <c r="C512" s="4" t="n"/>
      <c r="D512" s="5" t="n"/>
      <c r="E512" s="5" t="n"/>
      <c r="F512" s="5" t="n"/>
      <c r="G512" s="5" t="n"/>
      <c r="H512" s="5" t="n"/>
      <c r="I512" s="5" t="n"/>
      <c r="J512" s="5" t="n"/>
      <c r="K512" s="6" t="n"/>
      <c r="L512" s="6" t="n"/>
      <c r="M512" s="6" t="n"/>
      <c r="N512" s="5" t="n"/>
      <c r="O512" s="21" t="n"/>
      <c r="P512" s="5" t="n"/>
      <c r="Q512" s="5" t="n"/>
      <c r="R512" s="6" t="n"/>
      <c r="S512" s="4" t="n"/>
      <c r="T512" s="4" t="n"/>
      <c r="U512" s="3">
        <f>IF(C512="","",IF(T512="",TODAY()-C512,T512-C512))</f>
        <v/>
      </c>
      <c r="V512" s="5" t="n"/>
      <c r="W512" s="6" t="n"/>
      <c r="X512" s="3">
        <f>IF(P512="","",IFERROR(VLOOKUP(P512,Parâmetros!$J$2:$K$5,2,FALSE),""))</f>
        <v/>
      </c>
      <c r="Y512" s="4">
        <f>IF(OR(C512="",X512=""),"",C512+X512)</f>
        <v/>
      </c>
      <c r="Z512" s="5">
        <f>IF(C512="","",IF(Q512="Concluído","Concluído",IF(Y512&lt;TODAY(),"Vencido",IF(Y512-TODAY()&lt;=2,"A vencer","No prazo"))))</f>
        <v/>
      </c>
      <c r="AA512" s="3">
        <f>IF(OR(Y512="",Q512="Concluído"),"",Y512-TODAY())</f>
        <v/>
      </c>
      <c r="AB512" s="5" t="n"/>
      <c r="AC512" s="5" t="n"/>
      <c r="AD512" s="4" t="n"/>
    </row>
    <row r="513">
      <c r="A513" s="3">
        <f>IF(C513="","",ROW()-1)</f>
        <v/>
      </c>
      <c r="B513" s="4" t="n"/>
      <c r="C513" s="4" t="n"/>
      <c r="D513" s="5" t="n"/>
      <c r="E513" s="5" t="n"/>
      <c r="F513" s="5" t="n"/>
      <c r="G513" s="5" t="n"/>
      <c r="H513" s="5" t="n"/>
      <c r="I513" s="5" t="n"/>
      <c r="J513" s="5" t="n"/>
      <c r="K513" s="6" t="n"/>
      <c r="L513" s="6" t="n"/>
      <c r="M513" s="6" t="n"/>
      <c r="N513" s="5" t="n"/>
      <c r="O513" s="21" t="n"/>
      <c r="P513" s="5" t="n"/>
      <c r="Q513" s="5" t="n"/>
      <c r="R513" s="6" t="n"/>
      <c r="S513" s="4" t="n"/>
      <c r="T513" s="4" t="n"/>
      <c r="U513" s="3">
        <f>IF(C513="","",IF(T513="",TODAY()-C513,T513-C513))</f>
        <v/>
      </c>
      <c r="V513" s="5" t="n"/>
      <c r="W513" s="6" t="n"/>
      <c r="X513" s="3">
        <f>IF(P513="","",IFERROR(VLOOKUP(P513,Parâmetros!$J$2:$K$5,2,FALSE),""))</f>
        <v/>
      </c>
      <c r="Y513" s="4">
        <f>IF(OR(C513="",X513=""),"",C513+X513)</f>
        <v/>
      </c>
      <c r="Z513" s="5">
        <f>IF(C513="","",IF(Q513="Concluído","Concluído",IF(Y513&lt;TODAY(),"Vencido",IF(Y513-TODAY()&lt;=2,"A vencer","No prazo"))))</f>
        <v/>
      </c>
      <c r="AA513" s="3">
        <f>IF(OR(Y513="",Q513="Concluído"),"",Y513-TODAY())</f>
        <v/>
      </c>
      <c r="AB513" s="5" t="n"/>
      <c r="AC513" s="5" t="n"/>
      <c r="AD513" s="4" t="n"/>
    </row>
    <row r="514">
      <c r="A514" s="3">
        <f>IF(C514="","",ROW()-1)</f>
        <v/>
      </c>
      <c r="B514" s="4" t="n"/>
      <c r="C514" s="4" t="n"/>
      <c r="D514" s="5" t="n"/>
      <c r="E514" s="5" t="n"/>
      <c r="F514" s="5" t="n"/>
      <c r="G514" s="5" t="n"/>
      <c r="H514" s="5" t="n"/>
      <c r="I514" s="5" t="n"/>
      <c r="J514" s="5" t="n"/>
      <c r="K514" s="6" t="n"/>
      <c r="L514" s="6" t="n"/>
      <c r="M514" s="6" t="n"/>
      <c r="N514" s="5" t="n"/>
      <c r="O514" s="21" t="n"/>
      <c r="P514" s="5" t="n"/>
      <c r="Q514" s="5" t="n"/>
      <c r="R514" s="6" t="n"/>
      <c r="S514" s="4" t="n"/>
      <c r="T514" s="4" t="n"/>
      <c r="U514" s="3">
        <f>IF(C514="","",IF(T514="",TODAY()-C514,T514-C514))</f>
        <v/>
      </c>
      <c r="V514" s="5" t="n"/>
      <c r="W514" s="6" t="n"/>
      <c r="X514" s="3">
        <f>IF(P514="","",IFERROR(VLOOKUP(P514,Parâmetros!$J$2:$K$5,2,FALSE),""))</f>
        <v/>
      </c>
      <c r="Y514" s="4">
        <f>IF(OR(C514="",X514=""),"",C514+X514)</f>
        <v/>
      </c>
      <c r="Z514" s="5">
        <f>IF(C514="","",IF(Q514="Concluído","Concluído",IF(Y514&lt;TODAY(),"Vencido",IF(Y514-TODAY()&lt;=2,"A vencer","No prazo"))))</f>
        <v/>
      </c>
      <c r="AA514" s="3">
        <f>IF(OR(Y514="",Q514="Concluído"),"",Y514-TODAY())</f>
        <v/>
      </c>
      <c r="AB514" s="5" t="n"/>
      <c r="AC514" s="5" t="n"/>
      <c r="AD514" s="4" t="n"/>
    </row>
    <row r="515">
      <c r="A515" s="3">
        <f>IF(C515="","",ROW()-1)</f>
        <v/>
      </c>
      <c r="B515" s="4" t="n"/>
      <c r="C515" s="4" t="n"/>
      <c r="D515" s="5" t="n"/>
      <c r="E515" s="5" t="n"/>
      <c r="F515" s="5" t="n"/>
      <c r="G515" s="5" t="n"/>
      <c r="H515" s="5" t="n"/>
      <c r="I515" s="5" t="n"/>
      <c r="J515" s="5" t="n"/>
      <c r="K515" s="6" t="n"/>
      <c r="L515" s="6" t="n"/>
      <c r="M515" s="6" t="n"/>
      <c r="N515" s="5" t="n"/>
      <c r="O515" s="21" t="n"/>
      <c r="P515" s="5" t="n"/>
      <c r="Q515" s="5" t="n"/>
      <c r="R515" s="6" t="n"/>
      <c r="S515" s="4" t="n"/>
      <c r="T515" s="4" t="n"/>
      <c r="U515" s="3">
        <f>IF(C515="","",IF(T515="",TODAY()-C515,T515-C515))</f>
        <v/>
      </c>
      <c r="V515" s="5" t="n"/>
      <c r="W515" s="6" t="n"/>
      <c r="X515" s="3">
        <f>IF(P515="","",IFERROR(VLOOKUP(P515,Parâmetros!$J$2:$K$5,2,FALSE),""))</f>
        <v/>
      </c>
      <c r="Y515" s="4">
        <f>IF(OR(C515="",X515=""),"",C515+X515)</f>
        <v/>
      </c>
      <c r="Z515" s="5">
        <f>IF(C515="","",IF(Q515="Concluído","Concluído",IF(Y515&lt;TODAY(),"Vencido",IF(Y515-TODAY()&lt;=2,"A vencer","No prazo"))))</f>
        <v/>
      </c>
      <c r="AA515" s="3">
        <f>IF(OR(Y515="",Q515="Concluído"),"",Y515-TODAY())</f>
        <v/>
      </c>
      <c r="AB515" s="5" t="n"/>
      <c r="AC515" s="5" t="n"/>
      <c r="AD515" s="4" t="n"/>
    </row>
    <row r="516">
      <c r="A516" s="3">
        <f>IF(C516="","",ROW()-1)</f>
        <v/>
      </c>
      <c r="B516" s="4" t="n"/>
      <c r="C516" s="4" t="n"/>
      <c r="D516" s="5" t="n"/>
      <c r="E516" s="5" t="n"/>
      <c r="F516" s="5" t="n"/>
      <c r="G516" s="5" t="n"/>
      <c r="H516" s="5" t="n"/>
      <c r="I516" s="5" t="n"/>
      <c r="J516" s="5" t="n"/>
      <c r="K516" s="6" t="n"/>
      <c r="L516" s="6" t="n"/>
      <c r="M516" s="6" t="n"/>
      <c r="N516" s="5" t="n"/>
      <c r="O516" s="21" t="n"/>
      <c r="P516" s="5" t="n"/>
      <c r="Q516" s="5" t="n"/>
      <c r="R516" s="6" t="n"/>
      <c r="S516" s="4" t="n"/>
      <c r="T516" s="4" t="n"/>
      <c r="U516" s="3">
        <f>IF(C516="","",IF(T516="",TODAY()-C516,T516-C516))</f>
        <v/>
      </c>
      <c r="V516" s="5" t="n"/>
      <c r="W516" s="6" t="n"/>
      <c r="X516" s="3">
        <f>IF(P516="","",IFERROR(VLOOKUP(P516,Parâmetros!$J$2:$K$5,2,FALSE),""))</f>
        <v/>
      </c>
      <c r="Y516" s="4">
        <f>IF(OR(C516="",X516=""),"",C516+X516)</f>
        <v/>
      </c>
      <c r="Z516" s="5">
        <f>IF(C516="","",IF(Q516="Concluído","Concluído",IF(Y516&lt;TODAY(),"Vencido",IF(Y516-TODAY()&lt;=2,"A vencer","No prazo"))))</f>
        <v/>
      </c>
      <c r="AA516" s="3">
        <f>IF(OR(Y516="",Q516="Concluído"),"",Y516-TODAY())</f>
        <v/>
      </c>
      <c r="AB516" s="5" t="n"/>
      <c r="AC516" s="5" t="n"/>
      <c r="AD516" s="4" t="n"/>
    </row>
    <row r="517">
      <c r="A517" s="3">
        <f>IF(C517="","",ROW()-1)</f>
        <v/>
      </c>
      <c r="B517" s="4" t="n"/>
      <c r="C517" s="4" t="n"/>
      <c r="D517" s="5" t="n"/>
      <c r="E517" s="5" t="n"/>
      <c r="F517" s="5" t="n"/>
      <c r="G517" s="5" t="n"/>
      <c r="H517" s="5" t="n"/>
      <c r="I517" s="5" t="n"/>
      <c r="J517" s="5" t="n"/>
      <c r="K517" s="6" t="n"/>
      <c r="L517" s="6" t="n"/>
      <c r="M517" s="6" t="n"/>
      <c r="N517" s="5" t="n"/>
      <c r="O517" s="21" t="n"/>
      <c r="P517" s="5" t="n"/>
      <c r="Q517" s="5" t="n"/>
      <c r="R517" s="6" t="n"/>
      <c r="S517" s="4" t="n"/>
      <c r="T517" s="4" t="n"/>
      <c r="U517" s="3">
        <f>IF(C517="","",IF(T517="",TODAY()-C517,T517-C517))</f>
        <v/>
      </c>
      <c r="V517" s="5" t="n"/>
      <c r="W517" s="6" t="n"/>
      <c r="X517" s="3">
        <f>IF(P517="","",IFERROR(VLOOKUP(P517,Parâmetros!$J$2:$K$5,2,FALSE),""))</f>
        <v/>
      </c>
      <c r="Y517" s="4">
        <f>IF(OR(C517="",X517=""),"",C517+X517)</f>
        <v/>
      </c>
      <c r="Z517" s="5">
        <f>IF(C517="","",IF(Q517="Concluído","Concluído",IF(Y517&lt;TODAY(),"Vencido",IF(Y517-TODAY()&lt;=2,"A vencer","No prazo"))))</f>
        <v/>
      </c>
      <c r="AA517" s="3">
        <f>IF(OR(Y517="",Q517="Concluído"),"",Y517-TODAY())</f>
        <v/>
      </c>
      <c r="AB517" s="5" t="n"/>
      <c r="AC517" s="5" t="n"/>
      <c r="AD517" s="4" t="n"/>
    </row>
    <row r="518">
      <c r="A518" s="3">
        <f>IF(C518="","",ROW()-1)</f>
        <v/>
      </c>
      <c r="B518" s="4" t="n"/>
      <c r="C518" s="4" t="n"/>
      <c r="D518" s="5" t="n"/>
      <c r="E518" s="5" t="n"/>
      <c r="F518" s="5" t="n"/>
      <c r="G518" s="5" t="n"/>
      <c r="H518" s="5" t="n"/>
      <c r="I518" s="5" t="n"/>
      <c r="J518" s="5" t="n"/>
      <c r="K518" s="6" t="n"/>
      <c r="L518" s="6" t="n"/>
      <c r="M518" s="6" t="n"/>
      <c r="N518" s="5" t="n"/>
      <c r="O518" s="21" t="n"/>
      <c r="P518" s="5" t="n"/>
      <c r="Q518" s="5" t="n"/>
      <c r="R518" s="6" t="n"/>
      <c r="S518" s="4" t="n"/>
      <c r="T518" s="4" t="n"/>
      <c r="U518" s="3">
        <f>IF(C518="","",IF(T518="",TODAY()-C518,T518-C518))</f>
        <v/>
      </c>
      <c r="V518" s="5" t="n"/>
      <c r="W518" s="6" t="n"/>
      <c r="X518" s="3">
        <f>IF(P518="","",IFERROR(VLOOKUP(P518,Parâmetros!$J$2:$K$5,2,FALSE),""))</f>
        <v/>
      </c>
      <c r="Y518" s="4">
        <f>IF(OR(C518="",X518=""),"",C518+X518)</f>
        <v/>
      </c>
      <c r="Z518" s="5">
        <f>IF(C518="","",IF(Q518="Concluído","Concluído",IF(Y518&lt;TODAY(),"Vencido",IF(Y518-TODAY()&lt;=2,"A vencer","No prazo"))))</f>
        <v/>
      </c>
      <c r="AA518" s="3">
        <f>IF(OR(Y518="",Q518="Concluído"),"",Y518-TODAY())</f>
        <v/>
      </c>
      <c r="AB518" s="5" t="n"/>
      <c r="AC518" s="5" t="n"/>
      <c r="AD518" s="4" t="n"/>
    </row>
    <row r="519">
      <c r="A519" s="3">
        <f>IF(C519="","",ROW()-1)</f>
        <v/>
      </c>
      <c r="B519" s="4" t="n"/>
      <c r="C519" s="4" t="n"/>
      <c r="D519" s="5" t="n"/>
      <c r="E519" s="5" t="n"/>
      <c r="F519" s="5" t="n"/>
      <c r="G519" s="5" t="n"/>
      <c r="H519" s="5" t="n"/>
      <c r="I519" s="5" t="n"/>
      <c r="J519" s="5" t="n"/>
      <c r="K519" s="6" t="n"/>
      <c r="L519" s="6" t="n"/>
      <c r="M519" s="6" t="n"/>
      <c r="N519" s="5" t="n"/>
      <c r="O519" s="21" t="n"/>
      <c r="P519" s="5" t="n"/>
      <c r="Q519" s="5" t="n"/>
      <c r="R519" s="6" t="n"/>
      <c r="S519" s="4" t="n"/>
      <c r="T519" s="4" t="n"/>
      <c r="U519" s="3">
        <f>IF(C519="","",IF(T519="",TODAY()-C519,T519-C519))</f>
        <v/>
      </c>
      <c r="V519" s="5" t="n"/>
      <c r="W519" s="6" t="n"/>
      <c r="X519" s="3">
        <f>IF(P519="","",IFERROR(VLOOKUP(P519,Parâmetros!$J$2:$K$5,2,FALSE),""))</f>
        <v/>
      </c>
      <c r="Y519" s="4">
        <f>IF(OR(C519="",X519=""),"",C519+X519)</f>
        <v/>
      </c>
      <c r="Z519" s="5">
        <f>IF(C519="","",IF(Q519="Concluído","Concluído",IF(Y519&lt;TODAY(),"Vencido",IF(Y519-TODAY()&lt;=2,"A vencer","No prazo"))))</f>
        <v/>
      </c>
      <c r="AA519" s="3">
        <f>IF(OR(Y519="",Q519="Concluído"),"",Y519-TODAY())</f>
        <v/>
      </c>
      <c r="AB519" s="5" t="n"/>
      <c r="AC519" s="5" t="n"/>
      <c r="AD519" s="4" t="n"/>
    </row>
    <row r="520">
      <c r="A520" s="3">
        <f>IF(C520="","",ROW()-1)</f>
        <v/>
      </c>
      <c r="B520" s="4" t="n"/>
      <c r="C520" s="4" t="n"/>
      <c r="D520" s="5" t="n"/>
      <c r="E520" s="5" t="n"/>
      <c r="F520" s="5" t="n"/>
      <c r="G520" s="5" t="n"/>
      <c r="H520" s="5" t="n"/>
      <c r="I520" s="5" t="n"/>
      <c r="J520" s="5" t="n"/>
      <c r="K520" s="6" t="n"/>
      <c r="L520" s="6" t="n"/>
      <c r="M520" s="6" t="n"/>
      <c r="N520" s="5" t="n"/>
      <c r="O520" s="21" t="n"/>
      <c r="P520" s="5" t="n"/>
      <c r="Q520" s="5" t="n"/>
      <c r="R520" s="6" t="n"/>
      <c r="S520" s="4" t="n"/>
      <c r="T520" s="4" t="n"/>
      <c r="U520" s="3">
        <f>IF(C520="","",IF(T520="",TODAY()-C520,T520-C520))</f>
        <v/>
      </c>
      <c r="V520" s="5" t="n"/>
      <c r="W520" s="6" t="n"/>
      <c r="X520" s="3">
        <f>IF(P520="","",IFERROR(VLOOKUP(P520,Parâmetros!$J$2:$K$5,2,FALSE),""))</f>
        <v/>
      </c>
      <c r="Y520" s="4">
        <f>IF(OR(C520="",X520=""),"",C520+X520)</f>
        <v/>
      </c>
      <c r="Z520" s="5">
        <f>IF(C520="","",IF(Q520="Concluído","Concluído",IF(Y520&lt;TODAY(),"Vencido",IF(Y520-TODAY()&lt;=2,"A vencer","No prazo"))))</f>
        <v/>
      </c>
      <c r="AA520" s="3">
        <f>IF(OR(Y520="",Q520="Concluído"),"",Y520-TODAY())</f>
        <v/>
      </c>
      <c r="AB520" s="5" t="n"/>
      <c r="AC520" s="5" t="n"/>
      <c r="AD520" s="4" t="n"/>
    </row>
    <row r="521">
      <c r="A521" s="3">
        <f>IF(C521="","",ROW()-1)</f>
        <v/>
      </c>
      <c r="B521" s="4" t="n"/>
      <c r="C521" s="4" t="n"/>
      <c r="D521" s="5" t="n"/>
      <c r="E521" s="5" t="n"/>
      <c r="F521" s="5" t="n"/>
      <c r="G521" s="5" t="n"/>
      <c r="H521" s="5" t="n"/>
      <c r="I521" s="5" t="n"/>
      <c r="J521" s="5" t="n"/>
      <c r="K521" s="6" t="n"/>
      <c r="L521" s="6" t="n"/>
      <c r="M521" s="6" t="n"/>
      <c r="N521" s="5" t="n"/>
      <c r="O521" s="21" t="n"/>
      <c r="P521" s="5" t="n"/>
      <c r="Q521" s="5" t="n"/>
      <c r="R521" s="6" t="n"/>
      <c r="S521" s="4" t="n"/>
      <c r="T521" s="4" t="n"/>
      <c r="U521" s="3">
        <f>IF(C521="","",IF(T521="",TODAY()-C521,T521-C521))</f>
        <v/>
      </c>
      <c r="V521" s="5" t="n"/>
      <c r="W521" s="6" t="n"/>
      <c r="X521" s="3">
        <f>IF(P521="","",IFERROR(VLOOKUP(P521,Parâmetros!$J$2:$K$5,2,FALSE),""))</f>
        <v/>
      </c>
      <c r="Y521" s="4">
        <f>IF(OR(C521="",X521=""),"",C521+X521)</f>
        <v/>
      </c>
      <c r="Z521" s="5">
        <f>IF(C521="","",IF(Q521="Concluído","Concluído",IF(Y521&lt;TODAY(),"Vencido",IF(Y521-TODAY()&lt;=2,"A vencer","No prazo"))))</f>
        <v/>
      </c>
      <c r="AA521" s="3">
        <f>IF(OR(Y521="",Q521="Concluído"),"",Y521-TODAY())</f>
        <v/>
      </c>
      <c r="AB521" s="5" t="n"/>
      <c r="AC521" s="5" t="n"/>
      <c r="AD521" s="4" t="n"/>
    </row>
    <row r="522">
      <c r="A522" s="3">
        <f>IF(C522="","",ROW()-1)</f>
        <v/>
      </c>
      <c r="B522" s="4" t="n"/>
      <c r="C522" s="4" t="n"/>
      <c r="D522" s="5" t="n"/>
      <c r="E522" s="5" t="n"/>
      <c r="F522" s="5" t="n"/>
      <c r="G522" s="5" t="n"/>
      <c r="H522" s="5" t="n"/>
      <c r="I522" s="5" t="n"/>
      <c r="J522" s="5" t="n"/>
      <c r="K522" s="6" t="n"/>
      <c r="L522" s="6" t="n"/>
      <c r="M522" s="6" t="n"/>
      <c r="N522" s="5" t="n"/>
      <c r="O522" s="21" t="n"/>
      <c r="P522" s="5" t="n"/>
      <c r="Q522" s="5" t="n"/>
      <c r="R522" s="6" t="n"/>
      <c r="S522" s="4" t="n"/>
      <c r="T522" s="4" t="n"/>
      <c r="U522" s="3">
        <f>IF(C522="","",IF(T522="",TODAY()-C522,T522-C522))</f>
        <v/>
      </c>
      <c r="V522" s="5" t="n"/>
      <c r="W522" s="6" t="n"/>
      <c r="X522" s="3">
        <f>IF(P522="","",IFERROR(VLOOKUP(P522,Parâmetros!$J$2:$K$5,2,FALSE),""))</f>
        <v/>
      </c>
      <c r="Y522" s="4">
        <f>IF(OR(C522="",X522=""),"",C522+X522)</f>
        <v/>
      </c>
      <c r="Z522" s="5">
        <f>IF(C522="","",IF(Q522="Concluído","Concluído",IF(Y522&lt;TODAY(),"Vencido",IF(Y522-TODAY()&lt;=2,"A vencer","No prazo"))))</f>
        <v/>
      </c>
      <c r="AA522" s="3">
        <f>IF(OR(Y522="",Q522="Concluído"),"",Y522-TODAY())</f>
        <v/>
      </c>
      <c r="AB522" s="5" t="n"/>
      <c r="AC522" s="5" t="n"/>
      <c r="AD522" s="4" t="n"/>
    </row>
    <row r="523">
      <c r="A523" s="3">
        <f>IF(C523="","",ROW()-1)</f>
        <v/>
      </c>
      <c r="B523" s="4" t="n"/>
      <c r="C523" s="4" t="n"/>
      <c r="D523" s="5" t="n"/>
      <c r="E523" s="5" t="n"/>
      <c r="F523" s="5" t="n"/>
      <c r="G523" s="5" t="n"/>
      <c r="H523" s="5" t="n"/>
      <c r="I523" s="5" t="n"/>
      <c r="J523" s="5" t="n"/>
      <c r="K523" s="6" t="n"/>
      <c r="L523" s="6" t="n"/>
      <c r="M523" s="6" t="n"/>
      <c r="N523" s="5" t="n"/>
      <c r="O523" s="21" t="n"/>
      <c r="P523" s="5" t="n"/>
      <c r="Q523" s="5" t="n"/>
      <c r="R523" s="6" t="n"/>
      <c r="S523" s="4" t="n"/>
      <c r="T523" s="4" t="n"/>
      <c r="U523" s="3">
        <f>IF(C523="","",IF(T523="",TODAY()-C523,T523-C523))</f>
        <v/>
      </c>
      <c r="V523" s="5" t="n"/>
      <c r="W523" s="6" t="n"/>
      <c r="X523" s="3">
        <f>IF(P523="","",IFERROR(VLOOKUP(P523,Parâmetros!$J$2:$K$5,2,FALSE),""))</f>
        <v/>
      </c>
      <c r="Y523" s="4">
        <f>IF(OR(C523="",X523=""),"",C523+X523)</f>
        <v/>
      </c>
      <c r="Z523" s="5">
        <f>IF(C523="","",IF(Q523="Concluído","Concluído",IF(Y523&lt;TODAY(),"Vencido",IF(Y523-TODAY()&lt;=2,"A vencer","No prazo"))))</f>
        <v/>
      </c>
      <c r="AA523" s="3">
        <f>IF(OR(Y523="",Q523="Concluído"),"",Y523-TODAY())</f>
        <v/>
      </c>
      <c r="AB523" s="5" t="n"/>
      <c r="AC523" s="5" t="n"/>
      <c r="AD523" s="4" t="n"/>
    </row>
    <row r="524">
      <c r="A524" s="3">
        <f>IF(C524="","",ROW()-1)</f>
        <v/>
      </c>
      <c r="B524" s="4" t="n"/>
      <c r="C524" s="4" t="n"/>
      <c r="D524" s="5" t="n"/>
      <c r="E524" s="5" t="n"/>
      <c r="F524" s="5" t="n"/>
      <c r="G524" s="5" t="n"/>
      <c r="H524" s="5" t="n"/>
      <c r="I524" s="5" t="n"/>
      <c r="J524" s="5" t="n"/>
      <c r="K524" s="6" t="n"/>
      <c r="L524" s="6" t="n"/>
      <c r="M524" s="6" t="n"/>
      <c r="N524" s="5" t="n"/>
      <c r="O524" s="21" t="n"/>
      <c r="P524" s="5" t="n"/>
      <c r="Q524" s="5" t="n"/>
      <c r="R524" s="6" t="n"/>
      <c r="S524" s="4" t="n"/>
      <c r="T524" s="4" t="n"/>
      <c r="U524" s="3">
        <f>IF(C524="","",IF(T524="",TODAY()-C524,T524-C524))</f>
        <v/>
      </c>
      <c r="V524" s="5" t="n"/>
      <c r="W524" s="6" t="n"/>
      <c r="X524" s="3">
        <f>IF(P524="","",IFERROR(VLOOKUP(P524,Parâmetros!$J$2:$K$5,2,FALSE),""))</f>
        <v/>
      </c>
      <c r="Y524" s="4">
        <f>IF(OR(C524="",X524=""),"",C524+X524)</f>
        <v/>
      </c>
      <c r="Z524" s="5">
        <f>IF(C524="","",IF(Q524="Concluído","Concluído",IF(Y524&lt;TODAY(),"Vencido",IF(Y524-TODAY()&lt;=2,"A vencer","No prazo"))))</f>
        <v/>
      </c>
      <c r="AA524" s="3">
        <f>IF(OR(Y524="",Q524="Concluído"),"",Y524-TODAY())</f>
        <v/>
      </c>
      <c r="AB524" s="5" t="n"/>
      <c r="AC524" s="5" t="n"/>
      <c r="AD524" s="4" t="n"/>
    </row>
    <row r="525">
      <c r="A525" s="3">
        <f>IF(C525="","",ROW()-1)</f>
        <v/>
      </c>
      <c r="B525" s="4" t="n"/>
      <c r="C525" s="4" t="n"/>
      <c r="D525" s="5" t="n"/>
      <c r="E525" s="5" t="n"/>
      <c r="F525" s="5" t="n"/>
      <c r="G525" s="5" t="n"/>
      <c r="H525" s="5" t="n"/>
      <c r="I525" s="5" t="n"/>
      <c r="J525" s="5" t="n"/>
      <c r="K525" s="6" t="n"/>
      <c r="L525" s="6" t="n"/>
      <c r="M525" s="6" t="n"/>
      <c r="N525" s="5" t="n"/>
      <c r="O525" s="21" t="n"/>
      <c r="P525" s="5" t="n"/>
      <c r="Q525" s="5" t="n"/>
      <c r="R525" s="6" t="n"/>
      <c r="S525" s="4" t="n"/>
      <c r="T525" s="4" t="n"/>
      <c r="U525" s="3">
        <f>IF(C525="","",IF(T525="",TODAY()-C525,T525-C525))</f>
        <v/>
      </c>
      <c r="V525" s="5" t="n"/>
      <c r="W525" s="6" t="n"/>
      <c r="X525" s="3">
        <f>IF(P525="","",IFERROR(VLOOKUP(P525,Parâmetros!$J$2:$K$5,2,FALSE),""))</f>
        <v/>
      </c>
      <c r="Y525" s="4">
        <f>IF(OR(C525="",X525=""),"",C525+X525)</f>
        <v/>
      </c>
      <c r="Z525" s="5">
        <f>IF(C525="","",IF(Q525="Concluído","Concluído",IF(Y525&lt;TODAY(),"Vencido",IF(Y525-TODAY()&lt;=2,"A vencer","No prazo"))))</f>
        <v/>
      </c>
      <c r="AA525" s="3">
        <f>IF(OR(Y525="",Q525="Concluído"),"",Y525-TODAY())</f>
        <v/>
      </c>
      <c r="AB525" s="5" t="n"/>
      <c r="AC525" s="5" t="n"/>
      <c r="AD525" s="4" t="n"/>
    </row>
    <row r="526">
      <c r="A526" s="3">
        <f>IF(C526="","",ROW()-1)</f>
        <v/>
      </c>
      <c r="B526" s="4" t="n"/>
      <c r="C526" s="4" t="n"/>
      <c r="D526" s="5" t="n"/>
      <c r="E526" s="5" t="n"/>
      <c r="F526" s="5" t="n"/>
      <c r="G526" s="5" t="n"/>
      <c r="H526" s="5" t="n"/>
      <c r="I526" s="5" t="n"/>
      <c r="J526" s="5" t="n"/>
      <c r="K526" s="6" t="n"/>
      <c r="L526" s="6" t="n"/>
      <c r="M526" s="6" t="n"/>
      <c r="N526" s="5" t="n"/>
      <c r="O526" s="21" t="n"/>
      <c r="P526" s="5" t="n"/>
      <c r="Q526" s="5" t="n"/>
      <c r="R526" s="6" t="n"/>
      <c r="S526" s="4" t="n"/>
      <c r="T526" s="4" t="n"/>
      <c r="U526" s="3">
        <f>IF(C526="","",IF(T526="",TODAY()-C526,T526-C526))</f>
        <v/>
      </c>
      <c r="V526" s="5" t="n"/>
      <c r="W526" s="6" t="n"/>
      <c r="X526" s="3">
        <f>IF(P526="","",IFERROR(VLOOKUP(P526,Parâmetros!$J$2:$K$5,2,FALSE),""))</f>
        <v/>
      </c>
      <c r="Y526" s="4">
        <f>IF(OR(C526="",X526=""),"",C526+X526)</f>
        <v/>
      </c>
      <c r="Z526" s="5">
        <f>IF(C526="","",IF(Q526="Concluído","Concluído",IF(Y526&lt;TODAY(),"Vencido",IF(Y526-TODAY()&lt;=2,"A vencer","No prazo"))))</f>
        <v/>
      </c>
      <c r="AA526" s="3">
        <f>IF(OR(Y526="",Q526="Concluído"),"",Y526-TODAY())</f>
        <v/>
      </c>
      <c r="AB526" s="5" t="n"/>
      <c r="AC526" s="5" t="n"/>
      <c r="AD526" s="4" t="n"/>
    </row>
    <row r="527">
      <c r="A527" s="3">
        <f>IF(C527="","",ROW()-1)</f>
        <v/>
      </c>
      <c r="B527" s="4" t="n"/>
      <c r="C527" s="4" t="n"/>
      <c r="D527" s="5" t="n"/>
      <c r="E527" s="5" t="n"/>
      <c r="F527" s="5" t="n"/>
      <c r="G527" s="5" t="n"/>
      <c r="H527" s="5" t="n"/>
      <c r="I527" s="5" t="n"/>
      <c r="J527" s="5" t="n"/>
      <c r="K527" s="6" t="n"/>
      <c r="L527" s="6" t="n"/>
      <c r="M527" s="6" t="n"/>
      <c r="N527" s="5" t="n"/>
      <c r="O527" s="21" t="n"/>
      <c r="P527" s="5" t="n"/>
      <c r="Q527" s="5" t="n"/>
      <c r="R527" s="6" t="n"/>
      <c r="S527" s="4" t="n"/>
      <c r="T527" s="4" t="n"/>
      <c r="U527" s="3">
        <f>IF(C527="","",IF(T527="",TODAY()-C527,T527-C527))</f>
        <v/>
      </c>
      <c r="V527" s="5" t="n"/>
      <c r="W527" s="6" t="n"/>
      <c r="X527" s="3">
        <f>IF(P527="","",IFERROR(VLOOKUP(P527,Parâmetros!$J$2:$K$5,2,FALSE),""))</f>
        <v/>
      </c>
      <c r="Y527" s="4">
        <f>IF(OR(C527="",X527=""),"",C527+X527)</f>
        <v/>
      </c>
      <c r="Z527" s="5">
        <f>IF(C527="","",IF(Q527="Concluído","Concluído",IF(Y527&lt;TODAY(),"Vencido",IF(Y527-TODAY()&lt;=2,"A vencer","No prazo"))))</f>
        <v/>
      </c>
      <c r="AA527" s="3">
        <f>IF(OR(Y527="",Q527="Concluído"),"",Y527-TODAY())</f>
        <v/>
      </c>
      <c r="AB527" s="5" t="n"/>
      <c r="AC527" s="5" t="n"/>
      <c r="AD527" s="4" t="n"/>
    </row>
    <row r="528">
      <c r="A528" s="3">
        <f>IF(C528="","",ROW()-1)</f>
        <v/>
      </c>
      <c r="B528" s="4" t="n"/>
      <c r="C528" s="4" t="n"/>
      <c r="D528" s="5" t="n"/>
      <c r="E528" s="5" t="n"/>
      <c r="F528" s="5" t="n"/>
      <c r="G528" s="5" t="n"/>
      <c r="H528" s="5" t="n"/>
      <c r="I528" s="5" t="n"/>
      <c r="J528" s="5" t="n"/>
      <c r="K528" s="6" t="n"/>
      <c r="L528" s="6" t="n"/>
      <c r="M528" s="6" t="n"/>
      <c r="N528" s="5" t="n"/>
      <c r="O528" s="21" t="n"/>
      <c r="P528" s="5" t="n"/>
      <c r="Q528" s="5" t="n"/>
      <c r="R528" s="6" t="n"/>
      <c r="S528" s="4" t="n"/>
      <c r="T528" s="4" t="n"/>
      <c r="U528" s="3">
        <f>IF(C528="","",IF(T528="",TODAY()-C528,T528-C528))</f>
        <v/>
      </c>
      <c r="V528" s="5" t="n"/>
      <c r="W528" s="6" t="n"/>
      <c r="X528" s="3">
        <f>IF(P528="","",IFERROR(VLOOKUP(P528,Parâmetros!$J$2:$K$5,2,FALSE),""))</f>
        <v/>
      </c>
      <c r="Y528" s="4">
        <f>IF(OR(C528="",X528=""),"",C528+X528)</f>
        <v/>
      </c>
      <c r="Z528" s="5">
        <f>IF(C528="","",IF(Q528="Concluído","Concluído",IF(Y528&lt;TODAY(),"Vencido",IF(Y528-TODAY()&lt;=2,"A vencer","No prazo"))))</f>
        <v/>
      </c>
      <c r="AA528" s="3">
        <f>IF(OR(Y528="",Q528="Concluído"),"",Y528-TODAY())</f>
        <v/>
      </c>
      <c r="AB528" s="5" t="n"/>
      <c r="AC528" s="5" t="n"/>
      <c r="AD528" s="4" t="n"/>
    </row>
    <row r="529">
      <c r="A529" s="3">
        <f>IF(C529="","",ROW()-1)</f>
        <v/>
      </c>
      <c r="B529" s="4" t="n"/>
      <c r="C529" s="4" t="n"/>
      <c r="D529" s="5" t="n"/>
      <c r="E529" s="5" t="n"/>
      <c r="F529" s="5" t="n"/>
      <c r="G529" s="5" t="n"/>
      <c r="H529" s="5" t="n"/>
      <c r="I529" s="5" t="n"/>
      <c r="J529" s="5" t="n"/>
      <c r="K529" s="6" t="n"/>
      <c r="L529" s="6" t="n"/>
      <c r="M529" s="6" t="n"/>
      <c r="N529" s="5" t="n"/>
      <c r="O529" s="21" t="n"/>
      <c r="P529" s="5" t="n"/>
      <c r="Q529" s="5" t="n"/>
      <c r="R529" s="6" t="n"/>
      <c r="S529" s="4" t="n"/>
      <c r="T529" s="4" t="n"/>
      <c r="U529" s="3">
        <f>IF(C529="","",IF(T529="",TODAY()-C529,T529-C529))</f>
        <v/>
      </c>
      <c r="V529" s="5" t="n"/>
      <c r="W529" s="6" t="n"/>
      <c r="X529" s="3">
        <f>IF(P529="","",IFERROR(VLOOKUP(P529,Parâmetros!$J$2:$K$5,2,FALSE),""))</f>
        <v/>
      </c>
      <c r="Y529" s="4">
        <f>IF(OR(C529="",X529=""),"",C529+X529)</f>
        <v/>
      </c>
      <c r="Z529" s="5">
        <f>IF(C529="","",IF(Q529="Concluído","Concluído",IF(Y529&lt;TODAY(),"Vencido",IF(Y529-TODAY()&lt;=2,"A vencer","No prazo"))))</f>
        <v/>
      </c>
      <c r="AA529" s="3">
        <f>IF(OR(Y529="",Q529="Concluído"),"",Y529-TODAY())</f>
        <v/>
      </c>
      <c r="AB529" s="5" t="n"/>
      <c r="AC529" s="5" t="n"/>
      <c r="AD529" s="4" t="n"/>
    </row>
    <row r="530">
      <c r="A530" s="3">
        <f>IF(C530="","",ROW()-1)</f>
        <v/>
      </c>
      <c r="B530" s="4" t="n"/>
      <c r="C530" s="4" t="n"/>
      <c r="D530" s="5" t="n"/>
      <c r="E530" s="5" t="n"/>
      <c r="F530" s="5" t="n"/>
      <c r="G530" s="5" t="n"/>
      <c r="H530" s="5" t="n"/>
      <c r="I530" s="5" t="n"/>
      <c r="J530" s="5" t="n"/>
      <c r="K530" s="6" t="n"/>
      <c r="L530" s="6" t="n"/>
      <c r="M530" s="6" t="n"/>
      <c r="N530" s="5" t="n"/>
      <c r="O530" s="21" t="n"/>
      <c r="P530" s="5" t="n"/>
      <c r="Q530" s="5" t="n"/>
      <c r="R530" s="6" t="n"/>
      <c r="S530" s="4" t="n"/>
      <c r="T530" s="4" t="n"/>
      <c r="U530" s="3">
        <f>IF(C530="","",IF(T530="",TODAY()-C530,T530-C530))</f>
        <v/>
      </c>
      <c r="V530" s="5" t="n"/>
      <c r="W530" s="6" t="n"/>
      <c r="X530" s="3">
        <f>IF(P530="","",IFERROR(VLOOKUP(P530,Parâmetros!$J$2:$K$5,2,FALSE),""))</f>
        <v/>
      </c>
      <c r="Y530" s="4">
        <f>IF(OR(C530="",X530=""),"",C530+X530)</f>
        <v/>
      </c>
      <c r="Z530" s="5">
        <f>IF(C530="","",IF(Q530="Concluído","Concluído",IF(Y530&lt;TODAY(),"Vencido",IF(Y530-TODAY()&lt;=2,"A vencer","No prazo"))))</f>
        <v/>
      </c>
      <c r="AA530" s="3">
        <f>IF(OR(Y530="",Q530="Concluído"),"",Y530-TODAY())</f>
        <v/>
      </c>
      <c r="AB530" s="5" t="n"/>
      <c r="AC530" s="5" t="n"/>
      <c r="AD530" s="4" t="n"/>
    </row>
    <row r="531">
      <c r="A531" s="3">
        <f>IF(C531="","",ROW()-1)</f>
        <v/>
      </c>
      <c r="B531" s="4" t="n"/>
      <c r="C531" s="4" t="n"/>
      <c r="D531" s="5" t="n"/>
      <c r="E531" s="5" t="n"/>
      <c r="F531" s="5" t="n"/>
      <c r="G531" s="5" t="n"/>
      <c r="H531" s="5" t="n"/>
      <c r="I531" s="5" t="n"/>
      <c r="J531" s="5" t="n"/>
      <c r="K531" s="6" t="n"/>
      <c r="L531" s="6" t="n"/>
      <c r="M531" s="6" t="n"/>
      <c r="N531" s="5" t="n"/>
      <c r="O531" s="21" t="n"/>
      <c r="P531" s="5" t="n"/>
      <c r="Q531" s="5" t="n"/>
      <c r="R531" s="6" t="n"/>
      <c r="S531" s="4" t="n"/>
      <c r="T531" s="4" t="n"/>
      <c r="U531" s="3">
        <f>IF(C531="","",IF(T531="",TODAY()-C531,T531-C531))</f>
        <v/>
      </c>
      <c r="V531" s="5" t="n"/>
      <c r="W531" s="6" t="n"/>
      <c r="X531" s="3">
        <f>IF(P531="","",IFERROR(VLOOKUP(P531,Parâmetros!$J$2:$K$5,2,FALSE),""))</f>
        <v/>
      </c>
      <c r="Y531" s="4">
        <f>IF(OR(C531="",X531=""),"",C531+X531)</f>
        <v/>
      </c>
      <c r="Z531" s="5">
        <f>IF(C531="","",IF(Q531="Concluído","Concluído",IF(Y531&lt;TODAY(),"Vencido",IF(Y531-TODAY()&lt;=2,"A vencer","No prazo"))))</f>
        <v/>
      </c>
      <c r="AA531" s="3">
        <f>IF(OR(Y531="",Q531="Concluído"),"",Y531-TODAY())</f>
        <v/>
      </c>
      <c r="AB531" s="5" t="n"/>
      <c r="AC531" s="5" t="n"/>
      <c r="AD531" s="4" t="n"/>
    </row>
    <row r="532">
      <c r="A532" s="3">
        <f>IF(C532="","",ROW()-1)</f>
        <v/>
      </c>
      <c r="B532" s="4" t="n"/>
      <c r="C532" s="4" t="n"/>
      <c r="D532" s="5" t="n"/>
      <c r="E532" s="5" t="n"/>
      <c r="F532" s="5" t="n"/>
      <c r="G532" s="5" t="n"/>
      <c r="H532" s="5" t="n"/>
      <c r="I532" s="5" t="n"/>
      <c r="J532" s="5" t="n"/>
      <c r="K532" s="6" t="n"/>
      <c r="L532" s="6" t="n"/>
      <c r="M532" s="6" t="n"/>
      <c r="N532" s="5" t="n"/>
      <c r="O532" s="21" t="n"/>
      <c r="P532" s="5" t="n"/>
      <c r="Q532" s="5" t="n"/>
      <c r="R532" s="6" t="n"/>
      <c r="S532" s="4" t="n"/>
      <c r="T532" s="4" t="n"/>
      <c r="U532" s="3">
        <f>IF(C532="","",IF(T532="",TODAY()-C532,T532-C532))</f>
        <v/>
      </c>
      <c r="V532" s="5" t="n"/>
      <c r="W532" s="6" t="n"/>
      <c r="X532" s="3">
        <f>IF(P532="","",IFERROR(VLOOKUP(P532,Parâmetros!$J$2:$K$5,2,FALSE),""))</f>
        <v/>
      </c>
      <c r="Y532" s="4">
        <f>IF(OR(C532="",X532=""),"",C532+X532)</f>
        <v/>
      </c>
      <c r="Z532" s="5">
        <f>IF(C532="","",IF(Q532="Concluído","Concluído",IF(Y532&lt;TODAY(),"Vencido",IF(Y532-TODAY()&lt;=2,"A vencer","No prazo"))))</f>
        <v/>
      </c>
      <c r="AA532" s="3">
        <f>IF(OR(Y532="",Q532="Concluído"),"",Y532-TODAY())</f>
        <v/>
      </c>
      <c r="AB532" s="5" t="n"/>
      <c r="AC532" s="5" t="n"/>
      <c r="AD532" s="4" t="n"/>
    </row>
    <row r="533">
      <c r="A533" s="3">
        <f>IF(C533="","",ROW()-1)</f>
        <v/>
      </c>
      <c r="B533" s="4" t="n"/>
      <c r="C533" s="4" t="n"/>
      <c r="D533" s="5" t="n"/>
      <c r="E533" s="5" t="n"/>
      <c r="F533" s="5" t="n"/>
      <c r="G533" s="5" t="n"/>
      <c r="H533" s="5" t="n"/>
      <c r="I533" s="5" t="n"/>
      <c r="J533" s="5" t="n"/>
      <c r="K533" s="6" t="n"/>
      <c r="L533" s="6" t="n"/>
      <c r="M533" s="6" t="n"/>
      <c r="N533" s="5" t="n"/>
      <c r="O533" s="21" t="n"/>
      <c r="P533" s="5" t="n"/>
      <c r="Q533" s="5" t="n"/>
      <c r="R533" s="6" t="n"/>
      <c r="S533" s="4" t="n"/>
      <c r="T533" s="4" t="n"/>
      <c r="U533" s="3">
        <f>IF(C533="","",IF(T533="",TODAY()-C533,T533-C533))</f>
        <v/>
      </c>
      <c r="V533" s="5" t="n"/>
      <c r="W533" s="6" t="n"/>
      <c r="X533" s="3">
        <f>IF(P533="","",IFERROR(VLOOKUP(P533,Parâmetros!$J$2:$K$5,2,FALSE),""))</f>
        <v/>
      </c>
      <c r="Y533" s="4">
        <f>IF(OR(C533="",X533=""),"",C533+X533)</f>
        <v/>
      </c>
      <c r="Z533" s="5">
        <f>IF(C533="","",IF(Q533="Concluído","Concluído",IF(Y533&lt;TODAY(),"Vencido",IF(Y533-TODAY()&lt;=2,"A vencer","No prazo"))))</f>
        <v/>
      </c>
      <c r="AA533" s="3">
        <f>IF(OR(Y533="",Q533="Concluído"),"",Y533-TODAY())</f>
        <v/>
      </c>
      <c r="AB533" s="5" t="n"/>
      <c r="AC533" s="5" t="n"/>
      <c r="AD533" s="4" t="n"/>
    </row>
    <row r="534">
      <c r="A534" s="3">
        <f>IF(C534="","",ROW()-1)</f>
        <v/>
      </c>
      <c r="B534" s="4" t="n"/>
      <c r="C534" s="4" t="n"/>
      <c r="D534" s="5" t="n"/>
      <c r="E534" s="5" t="n"/>
      <c r="F534" s="5" t="n"/>
      <c r="G534" s="5" t="n"/>
      <c r="H534" s="5" t="n"/>
      <c r="I534" s="5" t="n"/>
      <c r="J534" s="5" t="n"/>
      <c r="K534" s="6" t="n"/>
      <c r="L534" s="6" t="n"/>
      <c r="M534" s="6" t="n"/>
      <c r="N534" s="5" t="n"/>
      <c r="O534" s="21" t="n"/>
      <c r="P534" s="5" t="n"/>
      <c r="Q534" s="5" t="n"/>
      <c r="R534" s="6" t="n"/>
      <c r="S534" s="4" t="n"/>
      <c r="T534" s="4" t="n"/>
      <c r="U534" s="3">
        <f>IF(C534="","",IF(T534="",TODAY()-C534,T534-C534))</f>
        <v/>
      </c>
      <c r="V534" s="5" t="n"/>
      <c r="W534" s="6" t="n"/>
      <c r="X534" s="3">
        <f>IF(P534="","",IFERROR(VLOOKUP(P534,Parâmetros!$J$2:$K$5,2,FALSE),""))</f>
        <v/>
      </c>
      <c r="Y534" s="4">
        <f>IF(OR(C534="",X534=""),"",C534+X534)</f>
        <v/>
      </c>
      <c r="Z534" s="5">
        <f>IF(C534="","",IF(Q534="Concluído","Concluído",IF(Y534&lt;TODAY(),"Vencido",IF(Y534-TODAY()&lt;=2,"A vencer","No prazo"))))</f>
        <v/>
      </c>
      <c r="AA534" s="3">
        <f>IF(OR(Y534="",Q534="Concluído"),"",Y534-TODAY())</f>
        <v/>
      </c>
      <c r="AB534" s="5" t="n"/>
      <c r="AC534" s="5" t="n"/>
      <c r="AD534" s="4" t="n"/>
    </row>
    <row r="535">
      <c r="A535" s="3">
        <f>IF(C535="","",ROW()-1)</f>
        <v/>
      </c>
      <c r="B535" s="4" t="n"/>
      <c r="C535" s="4" t="n"/>
      <c r="D535" s="5" t="n"/>
      <c r="E535" s="5" t="n"/>
      <c r="F535" s="5" t="n"/>
      <c r="G535" s="5" t="n"/>
      <c r="H535" s="5" t="n"/>
      <c r="I535" s="5" t="n"/>
      <c r="J535" s="5" t="n"/>
      <c r="K535" s="6" t="n"/>
      <c r="L535" s="6" t="n"/>
      <c r="M535" s="6" t="n"/>
      <c r="N535" s="5" t="n"/>
      <c r="O535" s="21" t="n"/>
      <c r="P535" s="5" t="n"/>
      <c r="Q535" s="5" t="n"/>
      <c r="R535" s="6" t="n"/>
      <c r="S535" s="4" t="n"/>
      <c r="T535" s="4" t="n"/>
      <c r="U535" s="3">
        <f>IF(C535="","",IF(T535="",TODAY()-C535,T535-C535))</f>
        <v/>
      </c>
      <c r="V535" s="5" t="n"/>
      <c r="W535" s="6" t="n"/>
      <c r="X535" s="3">
        <f>IF(P535="","",IFERROR(VLOOKUP(P535,Parâmetros!$J$2:$K$5,2,FALSE),""))</f>
        <v/>
      </c>
      <c r="Y535" s="4">
        <f>IF(OR(C535="",X535=""),"",C535+X535)</f>
        <v/>
      </c>
      <c r="Z535" s="5">
        <f>IF(C535="","",IF(Q535="Concluído","Concluído",IF(Y535&lt;TODAY(),"Vencido",IF(Y535-TODAY()&lt;=2,"A vencer","No prazo"))))</f>
        <v/>
      </c>
      <c r="AA535" s="3">
        <f>IF(OR(Y535="",Q535="Concluído"),"",Y535-TODAY())</f>
        <v/>
      </c>
      <c r="AB535" s="5" t="n"/>
      <c r="AC535" s="5" t="n"/>
      <c r="AD535" s="4" t="n"/>
    </row>
    <row r="536">
      <c r="A536" s="3">
        <f>IF(C536="","",ROW()-1)</f>
        <v/>
      </c>
      <c r="B536" s="4" t="n"/>
      <c r="C536" s="4" t="n"/>
      <c r="D536" s="5" t="n"/>
      <c r="E536" s="5" t="n"/>
      <c r="F536" s="5" t="n"/>
      <c r="G536" s="5" t="n"/>
      <c r="H536" s="5" t="n"/>
      <c r="I536" s="5" t="n"/>
      <c r="J536" s="5" t="n"/>
      <c r="K536" s="6" t="n"/>
      <c r="L536" s="6" t="n"/>
      <c r="M536" s="6" t="n"/>
      <c r="N536" s="5" t="n"/>
      <c r="O536" s="21" t="n"/>
      <c r="P536" s="5" t="n"/>
      <c r="Q536" s="5" t="n"/>
      <c r="R536" s="6" t="n"/>
      <c r="S536" s="4" t="n"/>
      <c r="T536" s="4" t="n"/>
      <c r="U536" s="3">
        <f>IF(C536="","",IF(T536="",TODAY()-C536,T536-C536))</f>
        <v/>
      </c>
      <c r="V536" s="5" t="n"/>
      <c r="W536" s="6" t="n"/>
      <c r="X536" s="3">
        <f>IF(P536="","",IFERROR(VLOOKUP(P536,Parâmetros!$J$2:$K$5,2,FALSE),""))</f>
        <v/>
      </c>
      <c r="Y536" s="4">
        <f>IF(OR(C536="",X536=""),"",C536+X536)</f>
        <v/>
      </c>
      <c r="Z536" s="5">
        <f>IF(C536="","",IF(Q536="Concluído","Concluído",IF(Y536&lt;TODAY(),"Vencido",IF(Y536-TODAY()&lt;=2,"A vencer","No prazo"))))</f>
        <v/>
      </c>
      <c r="AA536" s="3">
        <f>IF(OR(Y536="",Q536="Concluído"),"",Y536-TODAY())</f>
        <v/>
      </c>
      <c r="AB536" s="5" t="n"/>
      <c r="AC536" s="5" t="n"/>
      <c r="AD536" s="4" t="n"/>
    </row>
    <row r="537">
      <c r="A537" s="3">
        <f>IF(C537="","",ROW()-1)</f>
        <v/>
      </c>
      <c r="B537" s="4" t="n"/>
      <c r="C537" s="4" t="n"/>
      <c r="D537" s="5" t="n"/>
      <c r="E537" s="5" t="n"/>
      <c r="F537" s="5" t="n"/>
      <c r="G537" s="5" t="n"/>
      <c r="H537" s="5" t="n"/>
      <c r="I537" s="5" t="n"/>
      <c r="J537" s="5" t="n"/>
      <c r="K537" s="6" t="n"/>
      <c r="L537" s="6" t="n"/>
      <c r="M537" s="6" t="n"/>
      <c r="N537" s="5" t="n"/>
      <c r="O537" s="21" t="n"/>
      <c r="P537" s="5" t="n"/>
      <c r="Q537" s="5" t="n"/>
      <c r="R537" s="6" t="n"/>
      <c r="S537" s="4" t="n"/>
      <c r="T537" s="4" t="n"/>
      <c r="U537" s="3">
        <f>IF(C537="","",IF(T537="",TODAY()-C537,T537-C537))</f>
        <v/>
      </c>
      <c r="V537" s="5" t="n"/>
      <c r="W537" s="6" t="n"/>
      <c r="X537" s="3">
        <f>IF(P537="","",IFERROR(VLOOKUP(P537,Parâmetros!$J$2:$K$5,2,FALSE),""))</f>
        <v/>
      </c>
      <c r="Y537" s="4">
        <f>IF(OR(C537="",X537=""),"",C537+X537)</f>
        <v/>
      </c>
      <c r="Z537" s="5">
        <f>IF(C537="","",IF(Q537="Concluído","Concluído",IF(Y537&lt;TODAY(),"Vencido",IF(Y537-TODAY()&lt;=2,"A vencer","No prazo"))))</f>
        <v/>
      </c>
      <c r="AA537" s="3">
        <f>IF(OR(Y537="",Q537="Concluído"),"",Y537-TODAY())</f>
        <v/>
      </c>
      <c r="AB537" s="5" t="n"/>
      <c r="AC537" s="5" t="n"/>
      <c r="AD537" s="4" t="n"/>
    </row>
    <row r="538">
      <c r="A538" s="3">
        <f>IF(C538="","",ROW()-1)</f>
        <v/>
      </c>
      <c r="B538" s="4" t="n"/>
      <c r="C538" s="4" t="n"/>
      <c r="D538" s="5" t="n"/>
      <c r="E538" s="5" t="n"/>
      <c r="F538" s="5" t="n"/>
      <c r="G538" s="5" t="n"/>
      <c r="H538" s="5" t="n"/>
      <c r="I538" s="5" t="n"/>
      <c r="J538" s="5" t="n"/>
      <c r="K538" s="6" t="n"/>
      <c r="L538" s="6" t="n"/>
      <c r="M538" s="6" t="n"/>
      <c r="N538" s="5" t="n"/>
      <c r="O538" s="21" t="n"/>
      <c r="P538" s="5" t="n"/>
      <c r="Q538" s="5" t="n"/>
      <c r="R538" s="6" t="n"/>
      <c r="S538" s="4" t="n"/>
      <c r="T538" s="4" t="n"/>
      <c r="U538" s="3">
        <f>IF(C538="","",IF(T538="",TODAY()-C538,T538-C538))</f>
        <v/>
      </c>
      <c r="V538" s="5" t="n"/>
      <c r="W538" s="6" t="n"/>
      <c r="X538" s="3">
        <f>IF(P538="","",IFERROR(VLOOKUP(P538,Parâmetros!$J$2:$K$5,2,FALSE),""))</f>
        <v/>
      </c>
      <c r="Y538" s="4">
        <f>IF(OR(C538="",X538=""),"",C538+X538)</f>
        <v/>
      </c>
      <c r="Z538" s="5">
        <f>IF(C538="","",IF(Q538="Concluído","Concluído",IF(Y538&lt;TODAY(),"Vencido",IF(Y538-TODAY()&lt;=2,"A vencer","No prazo"))))</f>
        <v/>
      </c>
      <c r="AA538" s="3">
        <f>IF(OR(Y538="",Q538="Concluído"),"",Y538-TODAY())</f>
        <v/>
      </c>
      <c r="AB538" s="5" t="n"/>
      <c r="AC538" s="5" t="n"/>
      <c r="AD538" s="4" t="n"/>
    </row>
    <row r="539">
      <c r="A539" s="3">
        <f>IF(C539="","",ROW()-1)</f>
        <v/>
      </c>
      <c r="B539" s="4" t="n"/>
      <c r="C539" s="4" t="n"/>
      <c r="D539" s="5" t="n"/>
      <c r="E539" s="5" t="n"/>
      <c r="F539" s="5" t="n"/>
      <c r="G539" s="5" t="n"/>
      <c r="H539" s="5" t="n"/>
      <c r="I539" s="5" t="n"/>
      <c r="J539" s="5" t="n"/>
      <c r="K539" s="6" t="n"/>
      <c r="L539" s="6" t="n"/>
      <c r="M539" s="6" t="n"/>
      <c r="N539" s="5" t="n"/>
      <c r="O539" s="21" t="n"/>
      <c r="P539" s="5" t="n"/>
      <c r="Q539" s="5" t="n"/>
      <c r="R539" s="6" t="n"/>
      <c r="S539" s="4" t="n"/>
      <c r="T539" s="4" t="n"/>
      <c r="U539" s="3">
        <f>IF(C539="","",IF(T539="",TODAY()-C539,T539-C539))</f>
        <v/>
      </c>
      <c r="V539" s="5" t="n"/>
      <c r="W539" s="6" t="n"/>
      <c r="X539" s="3">
        <f>IF(P539="","",IFERROR(VLOOKUP(P539,Parâmetros!$J$2:$K$5,2,FALSE),""))</f>
        <v/>
      </c>
      <c r="Y539" s="4">
        <f>IF(OR(C539="",X539=""),"",C539+X539)</f>
        <v/>
      </c>
      <c r="Z539" s="5">
        <f>IF(C539="","",IF(Q539="Concluído","Concluído",IF(Y539&lt;TODAY(),"Vencido",IF(Y539-TODAY()&lt;=2,"A vencer","No prazo"))))</f>
        <v/>
      </c>
      <c r="AA539" s="3">
        <f>IF(OR(Y539="",Q539="Concluído"),"",Y539-TODAY())</f>
        <v/>
      </c>
      <c r="AB539" s="5" t="n"/>
      <c r="AC539" s="5" t="n"/>
      <c r="AD539" s="4" t="n"/>
    </row>
    <row r="540">
      <c r="A540" s="3">
        <f>IF(C540="","",ROW()-1)</f>
        <v/>
      </c>
      <c r="B540" s="4" t="n"/>
      <c r="C540" s="4" t="n"/>
      <c r="D540" s="5" t="n"/>
      <c r="E540" s="5" t="n"/>
      <c r="F540" s="5" t="n"/>
      <c r="G540" s="5" t="n"/>
      <c r="H540" s="5" t="n"/>
      <c r="I540" s="5" t="n"/>
      <c r="J540" s="5" t="n"/>
      <c r="K540" s="6" t="n"/>
      <c r="L540" s="6" t="n"/>
      <c r="M540" s="6" t="n"/>
      <c r="N540" s="5" t="n"/>
      <c r="O540" s="21" t="n"/>
      <c r="P540" s="5" t="n"/>
      <c r="Q540" s="5" t="n"/>
      <c r="R540" s="6" t="n"/>
      <c r="S540" s="4" t="n"/>
      <c r="T540" s="4" t="n"/>
      <c r="U540" s="3">
        <f>IF(C540="","",IF(T540="",TODAY()-C540,T540-C540))</f>
        <v/>
      </c>
      <c r="V540" s="5" t="n"/>
      <c r="W540" s="6" t="n"/>
      <c r="X540" s="3">
        <f>IF(P540="","",IFERROR(VLOOKUP(P540,Parâmetros!$J$2:$K$5,2,FALSE),""))</f>
        <v/>
      </c>
      <c r="Y540" s="4">
        <f>IF(OR(C540="",X540=""),"",C540+X540)</f>
        <v/>
      </c>
      <c r="Z540" s="5">
        <f>IF(C540="","",IF(Q540="Concluído","Concluído",IF(Y540&lt;TODAY(),"Vencido",IF(Y540-TODAY()&lt;=2,"A vencer","No prazo"))))</f>
        <v/>
      </c>
      <c r="AA540" s="3">
        <f>IF(OR(Y540="",Q540="Concluído"),"",Y540-TODAY())</f>
        <v/>
      </c>
      <c r="AB540" s="5" t="n"/>
      <c r="AC540" s="5" t="n"/>
      <c r="AD540" s="4" t="n"/>
    </row>
    <row r="541">
      <c r="A541" s="3">
        <f>IF(C541="","",ROW()-1)</f>
        <v/>
      </c>
      <c r="B541" s="4" t="n"/>
      <c r="C541" s="4" t="n"/>
      <c r="D541" s="5" t="n"/>
      <c r="E541" s="5" t="n"/>
      <c r="F541" s="5" t="n"/>
      <c r="G541" s="5" t="n"/>
      <c r="H541" s="5" t="n"/>
      <c r="I541" s="5" t="n"/>
      <c r="J541" s="5" t="n"/>
      <c r="K541" s="6" t="n"/>
      <c r="L541" s="6" t="n"/>
      <c r="M541" s="6" t="n"/>
      <c r="N541" s="5" t="n"/>
      <c r="O541" s="21" t="n"/>
      <c r="P541" s="5" t="n"/>
      <c r="Q541" s="5" t="n"/>
      <c r="R541" s="6" t="n"/>
      <c r="S541" s="4" t="n"/>
      <c r="T541" s="4" t="n"/>
      <c r="U541" s="3">
        <f>IF(C541="","",IF(T541="",TODAY()-C541,T541-C541))</f>
        <v/>
      </c>
      <c r="V541" s="5" t="n"/>
      <c r="W541" s="6" t="n"/>
      <c r="X541" s="3">
        <f>IF(P541="","",IFERROR(VLOOKUP(P541,Parâmetros!$J$2:$K$5,2,FALSE),""))</f>
        <v/>
      </c>
      <c r="Y541" s="4">
        <f>IF(OR(C541="",X541=""),"",C541+X541)</f>
        <v/>
      </c>
      <c r="Z541" s="5">
        <f>IF(C541="","",IF(Q541="Concluído","Concluído",IF(Y541&lt;TODAY(),"Vencido",IF(Y541-TODAY()&lt;=2,"A vencer","No prazo"))))</f>
        <v/>
      </c>
      <c r="AA541" s="3">
        <f>IF(OR(Y541="",Q541="Concluído"),"",Y541-TODAY())</f>
        <v/>
      </c>
      <c r="AB541" s="5" t="n"/>
      <c r="AC541" s="5" t="n"/>
      <c r="AD541" s="4" t="n"/>
    </row>
    <row r="542">
      <c r="A542" s="3">
        <f>IF(C542="","",ROW()-1)</f>
        <v/>
      </c>
      <c r="B542" s="4" t="n"/>
      <c r="C542" s="4" t="n"/>
      <c r="D542" s="5" t="n"/>
      <c r="E542" s="5" t="n"/>
      <c r="F542" s="5" t="n"/>
      <c r="G542" s="5" t="n"/>
      <c r="H542" s="5" t="n"/>
      <c r="I542" s="5" t="n"/>
      <c r="J542" s="5" t="n"/>
      <c r="K542" s="6" t="n"/>
      <c r="L542" s="6" t="n"/>
      <c r="M542" s="6" t="n"/>
      <c r="N542" s="5" t="n"/>
      <c r="O542" s="21" t="n"/>
      <c r="P542" s="5" t="n"/>
      <c r="Q542" s="5" t="n"/>
      <c r="R542" s="6" t="n"/>
      <c r="S542" s="4" t="n"/>
      <c r="T542" s="4" t="n"/>
      <c r="U542" s="3">
        <f>IF(C542="","",IF(T542="",TODAY()-C542,T542-C542))</f>
        <v/>
      </c>
      <c r="V542" s="5" t="n"/>
      <c r="W542" s="6" t="n"/>
      <c r="X542" s="3">
        <f>IF(P542="","",IFERROR(VLOOKUP(P542,Parâmetros!$J$2:$K$5,2,FALSE),""))</f>
        <v/>
      </c>
      <c r="Y542" s="4">
        <f>IF(OR(C542="",X542=""),"",C542+X542)</f>
        <v/>
      </c>
      <c r="Z542" s="5">
        <f>IF(C542="","",IF(Q542="Concluído","Concluído",IF(Y542&lt;TODAY(),"Vencido",IF(Y542-TODAY()&lt;=2,"A vencer","No prazo"))))</f>
        <v/>
      </c>
      <c r="AA542" s="3">
        <f>IF(OR(Y542="",Q542="Concluído"),"",Y542-TODAY())</f>
        <v/>
      </c>
      <c r="AB542" s="5" t="n"/>
      <c r="AC542" s="5" t="n"/>
      <c r="AD542" s="4" t="n"/>
    </row>
    <row r="543">
      <c r="A543" s="3">
        <f>IF(C543="","",ROW()-1)</f>
        <v/>
      </c>
      <c r="B543" s="4" t="n"/>
      <c r="C543" s="4" t="n"/>
      <c r="D543" s="5" t="n"/>
      <c r="E543" s="5" t="n"/>
      <c r="F543" s="5" t="n"/>
      <c r="G543" s="5" t="n"/>
      <c r="H543" s="5" t="n"/>
      <c r="I543" s="5" t="n"/>
      <c r="J543" s="5" t="n"/>
      <c r="K543" s="6" t="n"/>
      <c r="L543" s="6" t="n"/>
      <c r="M543" s="6" t="n"/>
      <c r="N543" s="5" t="n"/>
      <c r="O543" s="21" t="n"/>
      <c r="P543" s="5" t="n"/>
      <c r="Q543" s="5" t="n"/>
      <c r="R543" s="6" t="n"/>
      <c r="S543" s="4" t="n"/>
      <c r="T543" s="4" t="n"/>
      <c r="U543" s="3">
        <f>IF(C543="","",IF(T543="",TODAY()-C543,T543-C543))</f>
        <v/>
      </c>
      <c r="V543" s="5" t="n"/>
      <c r="W543" s="6" t="n"/>
      <c r="X543" s="3">
        <f>IF(P543="","",IFERROR(VLOOKUP(P543,Parâmetros!$J$2:$K$5,2,FALSE),""))</f>
        <v/>
      </c>
      <c r="Y543" s="4">
        <f>IF(OR(C543="",X543=""),"",C543+X543)</f>
        <v/>
      </c>
      <c r="Z543" s="5">
        <f>IF(C543="","",IF(Q543="Concluído","Concluído",IF(Y543&lt;TODAY(),"Vencido",IF(Y543-TODAY()&lt;=2,"A vencer","No prazo"))))</f>
        <v/>
      </c>
      <c r="AA543" s="3">
        <f>IF(OR(Y543="",Q543="Concluído"),"",Y543-TODAY())</f>
        <v/>
      </c>
      <c r="AB543" s="5" t="n"/>
      <c r="AC543" s="5" t="n"/>
      <c r="AD543" s="4" t="n"/>
    </row>
    <row r="544">
      <c r="A544" s="3">
        <f>IF(C544="","",ROW()-1)</f>
        <v/>
      </c>
      <c r="B544" s="4" t="n"/>
      <c r="C544" s="4" t="n"/>
      <c r="D544" s="5" t="n"/>
      <c r="E544" s="5" t="n"/>
      <c r="F544" s="5" t="n"/>
      <c r="G544" s="5" t="n"/>
      <c r="H544" s="5" t="n"/>
      <c r="I544" s="5" t="n"/>
      <c r="J544" s="5" t="n"/>
      <c r="K544" s="6" t="n"/>
      <c r="L544" s="6" t="n"/>
      <c r="M544" s="6" t="n"/>
      <c r="N544" s="5" t="n"/>
      <c r="O544" s="21" t="n"/>
      <c r="P544" s="5" t="n"/>
      <c r="Q544" s="5" t="n"/>
      <c r="R544" s="6" t="n"/>
      <c r="S544" s="4" t="n"/>
      <c r="T544" s="4" t="n"/>
      <c r="U544" s="3">
        <f>IF(C544="","",IF(T544="",TODAY()-C544,T544-C544))</f>
        <v/>
      </c>
      <c r="V544" s="5" t="n"/>
      <c r="W544" s="6" t="n"/>
      <c r="X544" s="3">
        <f>IF(P544="","",IFERROR(VLOOKUP(P544,Parâmetros!$J$2:$K$5,2,FALSE),""))</f>
        <v/>
      </c>
      <c r="Y544" s="4">
        <f>IF(OR(C544="",X544=""),"",C544+X544)</f>
        <v/>
      </c>
      <c r="Z544" s="5">
        <f>IF(C544="","",IF(Q544="Concluído","Concluído",IF(Y544&lt;TODAY(),"Vencido",IF(Y544-TODAY()&lt;=2,"A vencer","No prazo"))))</f>
        <v/>
      </c>
      <c r="AA544" s="3">
        <f>IF(OR(Y544="",Q544="Concluído"),"",Y544-TODAY())</f>
        <v/>
      </c>
      <c r="AB544" s="5" t="n"/>
      <c r="AC544" s="5" t="n"/>
      <c r="AD544" s="4" t="n"/>
    </row>
    <row r="545">
      <c r="A545" s="3">
        <f>IF(C545="","",ROW()-1)</f>
        <v/>
      </c>
      <c r="B545" s="4" t="n"/>
      <c r="C545" s="4" t="n"/>
      <c r="D545" s="5" t="n"/>
      <c r="E545" s="5" t="n"/>
      <c r="F545" s="5" t="n"/>
      <c r="G545" s="5" t="n"/>
      <c r="H545" s="5" t="n"/>
      <c r="I545" s="5" t="n"/>
      <c r="J545" s="5" t="n"/>
      <c r="K545" s="6" t="n"/>
      <c r="L545" s="6" t="n"/>
      <c r="M545" s="6" t="n"/>
      <c r="N545" s="5" t="n"/>
      <c r="O545" s="21" t="n"/>
      <c r="P545" s="5" t="n"/>
      <c r="Q545" s="5" t="n"/>
      <c r="R545" s="6" t="n"/>
      <c r="S545" s="4" t="n"/>
      <c r="T545" s="4" t="n"/>
      <c r="U545" s="3">
        <f>IF(C545="","",IF(T545="",TODAY()-C545,T545-C545))</f>
        <v/>
      </c>
      <c r="V545" s="5" t="n"/>
      <c r="W545" s="6" t="n"/>
      <c r="X545" s="3">
        <f>IF(P545="","",IFERROR(VLOOKUP(P545,Parâmetros!$J$2:$K$5,2,FALSE),""))</f>
        <v/>
      </c>
      <c r="Y545" s="4">
        <f>IF(OR(C545="",X545=""),"",C545+X545)</f>
        <v/>
      </c>
      <c r="Z545" s="5">
        <f>IF(C545="","",IF(Q545="Concluído","Concluído",IF(Y545&lt;TODAY(),"Vencido",IF(Y545-TODAY()&lt;=2,"A vencer","No prazo"))))</f>
        <v/>
      </c>
      <c r="AA545" s="3">
        <f>IF(OR(Y545="",Q545="Concluído"),"",Y545-TODAY())</f>
        <v/>
      </c>
      <c r="AB545" s="5" t="n"/>
      <c r="AC545" s="5" t="n"/>
      <c r="AD545" s="4" t="n"/>
    </row>
    <row r="546">
      <c r="A546" s="3">
        <f>IF(C546="","",ROW()-1)</f>
        <v/>
      </c>
      <c r="B546" s="4" t="n"/>
      <c r="C546" s="4" t="n"/>
      <c r="D546" s="5" t="n"/>
      <c r="E546" s="5" t="n"/>
      <c r="F546" s="5" t="n"/>
      <c r="G546" s="5" t="n"/>
      <c r="H546" s="5" t="n"/>
      <c r="I546" s="5" t="n"/>
      <c r="J546" s="5" t="n"/>
      <c r="K546" s="6" t="n"/>
      <c r="L546" s="6" t="n"/>
      <c r="M546" s="6" t="n"/>
      <c r="N546" s="5" t="n"/>
      <c r="O546" s="21" t="n"/>
      <c r="P546" s="5" t="n"/>
      <c r="Q546" s="5" t="n"/>
      <c r="R546" s="6" t="n"/>
      <c r="S546" s="4" t="n"/>
      <c r="T546" s="4" t="n"/>
      <c r="U546" s="3">
        <f>IF(C546="","",IF(T546="",TODAY()-C546,T546-C546))</f>
        <v/>
      </c>
      <c r="V546" s="5" t="n"/>
      <c r="W546" s="6" t="n"/>
      <c r="X546" s="3">
        <f>IF(P546="","",IFERROR(VLOOKUP(P546,Parâmetros!$J$2:$K$5,2,FALSE),""))</f>
        <v/>
      </c>
      <c r="Y546" s="4">
        <f>IF(OR(C546="",X546=""),"",C546+X546)</f>
        <v/>
      </c>
      <c r="Z546" s="5">
        <f>IF(C546="","",IF(Q546="Concluído","Concluído",IF(Y546&lt;TODAY(),"Vencido",IF(Y546-TODAY()&lt;=2,"A vencer","No prazo"))))</f>
        <v/>
      </c>
      <c r="AA546" s="3">
        <f>IF(OR(Y546="",Q546="Concluído"),"",Y546-TODAY())</f>
        <v/>
      </c>
      <c r="AB546" s="5" t="n"/>
      <c r="AC546" s="5" t="n"/>
      <c r="AD546" s="4" t="n"/>
    </row>
    <row r="547">
      <c r="A547" s="3">
        <f>IF(C547="","",ROW()-1)</f>
        <v/>
      </c>
      <c r="B547" s="4" t="n"/>
      <c r="C547" s="4" t="n"/>
      <c r="D547" s="5" t="n"/>
      <c r="E547" s="5" t="n"/>
      <c r="F547" s="5" t="n"/>
      <c r="G547" s="5" t="n"/>
      <c r="H547" s="5" t="n"/>
      <c r="I547" s="5" t="n"/>
      <c r="J547" s="5" t="n"/>
      <c r="K547" s="6" t="n"/>
      <c r="L547" s="6" t="n"/>
      <c r="M547" s="6" t="n"/>
      <c r="N547" s="5" t="n"/>
      <c r="O547" s="21" t="n"/>
      <c r="P547" s="5" t="n"/>
      <c r="Q547" s="5" t="n"/>
      <c r="R547" s="6" t="n"/>
      <c r="S547" s="4" t="n"/>
      <c r="T547" s="4" t="n"/>
      <c r="U547" s="3">
        <f>IF(C547="","",IF(T547="",TODAY()-C547,T547-C547))</f>
        <v/>
      </c>
      <c r="V547" s="5" t="n"/>
      <c r="W547" s="6" t="n"/>
      <c r="X547" s="3">
        <f>IF(P547="","",IFERROR(VLOOKUP(P547,Parâmetros!$J$2:$K$5,2,FALSE),""))</f>
        <v/>
      </c>
      <c r="Y547" s="4">
        <f>IF(OR(C547="",X547=""),"",C547+X547)</f>
        <v/>
      </c>
      <c r="Z547" s="5">
        <f>IF(C547="","",IF(Q547="Concluído","Concluído",IF(Y547&lt;TODAY(),"Vencido",IF(Y547-TODAY()&lt;=2,"A vencer","No prazo"))))</f>
        <v/>
      </c>
      <c r="AA547" s="3">
        <f>IF(OR(Y547="",Q547="Concluído"),"",Y547-TODAY())</f>
        <v/>
      </c>
      <c r="AB547" s="5" t="n"/>
      <c r="AC547" s="5" t="n"/>
      <c r="AD547" s="4" t="n"/>
    </row>
    <row r="548">
      <c r="A548" s="3">
        <f>IF(C548="","",ROW()-1)</f>
        <v/>
      </c>
      <c r="B548" s="4" t="n"/>
      <c r="C548" s="4" t="n"/>
      <c r="D548" s="5" t="n"/>
      <c r="E548" s="5" t="n"/>
      <c r="F548" s="5" t="n"/>
      <c r="G548" s="5" t="n"/>
      <c r="H548" s="5" t="n"/>
      <c r="I548" s="5" t="n"/>
      <c r="J548" s="5" t="n"/>
      <c r="K548" s="6" t="n"/>
      <c r="L548" s="6" t="n"/>
      <c r="M548" s="6" t="n"/>
      <c r="N548" s="5" t="n"/>
      <c r="O548" s="21" t="n"/>
      <c r="P548" s="5" t="n"/>
      <c r="Q548" s="5" t="n"/>
      <c r="R548" s="6" t="n"/>
      <c r="S548" s="4" t="n"/>
      <c r="T548" s="4" t="n"/>
      <c r="U548" s="3">
        <f>IF(C548="","",IF(T548="",TODAY()-C548,T548-C548))</f>
        <v/>
      </c>
      <c r="V548" s="5" t="n"/>
      <c r="W548" s="6" t="n"/>
      <c r="X548" s="3">
        <f>IF(P548="","",IFERROR(VLOOKUP(P548,Parâmetros!$J$2:$K$5,2,FALSE),""))</f>
        <v/>
      </c>
      <c r="Y548" s="4">
        <f>IF(OR(C548="",X548=""),"",C548+X548)</f>
        <v/>
      </c>
      <c r="Z548" s="5">
        <f>IF(C548="","",IF(Q548="Concluído","Concluído",IF(Y548&lt;TODAY(),"Vencido",IF(Y548-TODAY()&lt;=2,"A vencer","No prazo"))))</f>
        <v/>
      </c>
      <c r="AA548" s="3">
        <f>IF(OR(Y548="",Q548="Concluído"),"",Y548-TODAY())</f>
        <v/>
      </c>
      <c r="AB548" s="5" t="n"/>
      <c r="AC548" s="5" t="n"/>
      <c r="AD548" s="4" t="n"/>
    </row>
    <row r="549">
      <c r="A549" s="3">
        <f>IF(C549="","",ROW()-1)</f>
        <v/>
      </c>
      <c r="B549" s="4" t="n"/>
      <c r="C549" s="4" t="n"/>
      <c r="D549" s="5" t="n"/>
      <c r="E549" s="5" t="n"/>
      <c r="F549" s="5" t="n"/>
      <c r="G549" s="5" t="n"/>
      <c r="H549" s="5" t="n"/>
      <c r="I549" s="5" t="n"/>
      <c r="J549" s="5" t="n"/>
      <c r="K549" s="6" t="n"/>
      <c r="L549" s="6" t="n"/>
      <c r="M549" s="6" t="n"/>
      <c r="N549" s="5" t="n"/>
      <c r="O549" s="21" t="n"/>
      <c r="P549" s="5" t="n"/>
      <c r="Q549" s="5" t="n"/>
      <c r="R549" s="6" t="n"/>
      <c r="S549" s="4" t="n"/>
      <c r="T549" s="4" t="n"/>
      <c r="U549" s="3">
        <f>IF(C549="","",IF(T549="",TODAY()-C549,T549-C549))</f>
        <v/>
      </c>
      <c r="V549" s="5" t="n"/>
      <c r="W549" s="6" t="n"/>
      <c r="X549" s="3">
        <f>IF(P549="","",IFERROR(VLOOKUP(P549,Parâmetros!$J$2:$K$5,2,FALSE),""))</f>
        <v/>
      </c>
      <c r="Y549" s="4">
        <f>IF(OR(C549="",X549=""),"",C549+X549)</f>
        <v/>
      </c>
      <c r="Z549" s="5">
        <f>IF(C549="","",IF(Q549="Concluído","Concluído",IF(Y549&lt;TODAY(),"Vencido",IF(Y549-TODAY()&lt;=2,"A vencer","No prazo"))))</f>
        <v/>
      </c>
      <c r="AA549" s="3">
        <f>IF(OR(Y549="",Q549="Concluído"),"",Y549-TODAY())</f>
        <v/>
      </c>
      <c r="AB549" s="5" t="n"/>
      <c r="AC549" s="5" t="n"/>
      <c r="AD549" s="4" t="n"/>
    </row>
    <row r="550">
      <c r="A550" s="3">
        <f>IF(C550="","",ROW()-1)</f>
        <v/>
      </c>
      <c r="B550" s="4" t="n"/>
      <c r="C550" s="4" t="n"/>
      <c r="D550" s="5" t="n"/>
      <c r="E550" s="5" t="n"/>
      <c r="F550" s="5" t="n"/>
      <c r="G550" s="5" t="n"/>
      <c r="H550" s="5" t="n"/>
      <c r="I550" s="5" t="n"/>
      <c r="J550" s="5" t="n"/>
      <c r="K550" s="6" t="n"/>
      <c r="L550" s="6" t="n"/>
      <c r="M550" s="6" t="n"/>
      <c r="N550" s="5" t="n"/>
      <c r="O550" s="21" t="n"/>
      <c r="P550" s="5" t="n"/>
      <c r="Q550" s="5" t="n"/>
      <c r="R550" s="6" t="n"/>
      <c r="S550" s="4" t="n"/>
      <c r="T550" s="4" t="n"/>
      <c r="U550" s="3">
        <f>IF(C550="","",IF(T550="",TODAY()-C550,T550-C550))</f>
        <v/>
      </c>
      <c r="V550" s="5" t="n"/>
      <c r="W550" s="6" t="n"/>
      <c r="X550" s="3">
        <f>IF(P550="","",IFERROR(VLOOKUP(P550,Parâmetros!$J$2:$K$5,2,FALSE),""))</f>
        <v/>
      </c>
      <c r="Y550" s="4">
        <f>IF(OR(C550="",X550=""),"",C550+X550)</f>
        <v/>
      </c>
      <c r="Z550" s="5">
        <f>IF(C550="","",IF(Q550="Concluído","Concluído",IF(Y550&lt;TODAY(),"Vencido",IF(Y550-TODAY()&lt;=2,"A vencer","No prazo"))))</f>
        <v/>
      </c>
      <c r="AA550" s="3">
        <f>IF(OR(Y550="",Q550="Concluído"),"",Y550-TODAY())</f>
        <v/>
      </c>
      <c r="AB550" s="5" t="n"/>
      <c r="AC550" s="5" t="n"/>
      <c r="AD550" s="4" t="n"/>
    </row>
    <row r="551">
      <c r="A551" s="3">
        <f>IF(C551="","",ROW()-1)</f>
        <v/>
      </c>
      <c r="B551" s="4" t="n"/>
      <c r="C551" s="4" t="n"/>
      <c r="D551" s="5" t="n"/>
      <c r="E551" s="5" t="n"/>
      <c r="F551" s="5" t="n"/>
      <c r="G551" s="5" t="n"/>
      <c r="H551" s="5" t="n"/>
      <c r="I551" s="5" t="n"/>
      <c r="J551" s="5" t="n"/>
      <c r="K551" s="6" t="n"/>
      <c r="L551" s="6" t="n"/>
      <c r="M551" s="6" t="n"/>
      <c r="N551" s="5" t="n"/>
      <c r="O551" s="21" t="n"/>
      <c r="P551" s="5" t="n"/>
      <c r="Q551" s="5" t="n"/>
      <c r="R551" s="6" t="n"/>
      <c r="S551" s="4" t="n"/>
      <c r="T551" s="4" t="n"/>
      <c r="U551" s="3">
        <f>IF(C551="","",IF(T551="",TODAY()-C551,T551-C551))</f>
        <v/>
      </c>
      <c r="V551" s="5" t="n"/>
      <c r="W551" s="6" t="n"/>
      <c r="X551" s="3">
        <f>IF(P551="","",IFERROR(VLOOKUP(P551,Parâmetros!$J$2:$K$5,2,FALSE),""))</f>
        <v/>
      </c>
      <c r="Y551" s="4">
        <f>IF(OR(C551="",X551=""),"",C551+X551)</f>
        <v/>
      </c>
      <c r="Z551" s="5">
        <f>IF(C551="","",IF(Q551="Concluído","Concluído",IF(Y551&lt;TODAY(),"Vencido",IF(Y551-TODAY()&lt;=2,"A vencer","No prazo"))))</f>
        <v/>
      </c>
      <c r="AA551" s="3">
        <f>IF(OR(Y551="",Q551="Concluído"),"",Y551-TODAY())</f>
        <v/>
      </c>
      <c r="AB551" s="5" t="n"/>
      <c r="AC551" s="5" t="n"/>
      <c r="AD551" s="4" t="n"/>
    </row>
    <row r="552">
      <c r="A552" s="3">
        <f>IF(C552="","",ROW()-1)</f>
        <v/>
      </c>
      <c r="B552" s="4" t="n"/>
      <c r="C552" s="4" t="n"/>
      <c r="D552" s="5" t="n"/>
      <c r="E552" s="5" t="n"/>
      <c r="F552" s="5" t="n"/>
      <c r="G552" s="5" t="n"/>
      <c r="H552" s="5" t="n"/>
      <c r="I552" s="5" t="n"/>
      <c r="J552" s="5" t="n"/>
      <c r="K552" s="6" t="n"/>
      <c r="L552" s="6" t="n"/>
      <c r="M552" s="6" t="n"/>
      <c r="N552" s="5" t="n"/>
      <c r="O552" s="21" t="n"/>
      <c r="P552" s="5" t="n"/>
      <c r="Q552" s="5" t="n"/>
      <c r="R552" s="6" t="n"/>
      <c r="S552" s="4" t="n"/>
      <c r="T552" s="4" t="n"/>
      <c r="U552" s="3">
        <f>IF(C552="","",IF(T552="",TODAY()-C552,T552-C552))</f>
        <v/>
      </c>
      <c r="V552" s="5" t="n"/>
      <c r="W552" s="6" t="n"/>
      <c r="X552" s="3">
        <f>IF(P552="","",IFERROR(VLOOKUP(P552,Parâmetros!$J$2:$K$5,2,FALSE),""))</f>
        <v/>
      </c>
      <c r="Y552" s="4">
        <f>IF(OR(C552="",X552=""),"",C552+X552)</f>
        <v/>
      </c>
      <c r="Z552" s="5">
        <f>IF(C552="","",IF(Q552="Concluído","Concluído",IF(Y552&lt;TODAY(),"Vencido",IF(Y552-TODAY()&lt;=2,"A vencer","No prazo"))))</f>
        <v/>
      </c>
      <c r="AA552" s="3">
        <f>IF(OR(Y552="",Q552="Concluído"),"",Y552-TODAY())</f>
        <v/>
      </c>
      <c r="AB552" s="5" t="n"/>
      <c r="AC552" s="5" t="n"/>
      <c r="AD552" s="4" t="n"/>
    </row>
    <row r="553">
      <c r="A553" s="3">
        <f>IF(C553="","",ROW()-1)</f>
        <v/>
      </c>
      <c r="B553" s="4" t="n"/>
      <c r="C553" s="4" t="n"/>
      <c r="D553" s="5" t="n"/>
      <c r="E553" s="5" t="n"/>
      <c r="F553" s="5" t="n"/>
      <c r="G553" s="5" t="n"/>
      <c r="H553" s="5" t="n"/>
      <c r="I553" s="5" t="n"/>
      <c r="J553" s="5" t="n"/>
      <c r="K553" s="6" t="n"/>
      <c r="L553" s="6" t="n"/>
      <c r="M553" s="6" t="n"/>
      <c r="N553" s="5" t="n"/>
      <c r="O553" s="21" t="n"/>
      <c r="P553" s="5" t="n"/>
      <c r="Q553" s="5" t="n"/>
      <c r="R553" s="6" t="n"/>
      <c r="S553" s="4" t="n"/>
      <c r="T553" s="4" t="n"/>
      <c r="U553" s="3">
        <f>IF(C553="","",IF(T553="",TODAY()-C553,T553-C553))</f>
        <v/>
      </c>
      <c r="V553" s="5" t="n"/>
      <c r="W553" s="6" t="n"/>
      <c r="X553" s="3">
        <f>IF(P553="","",IFERROR(VLOOKUP(P553,Parâmetros!$J$2:$K$5,2,FALSE),""))</f>
        <v/>
      </c>
      <c r="Y553" s="4">
        <f>IF(OR(C553="",X553=""),"",C553+X553)</f>
        <v/>
      </c>
      <c r="Z553" s="5">
        <f>IF(C553="","",IF(Q553="Concluído","Concluído",IF(Y553&lt;TODAY(),"Vencido",IF(Y553-TODAY()&lt;=2,"A vencer","No prazo"))))</f>
        <v/>
      </c>
      <c r="AA553" s="3">
        <f>IF(OR(Y553="",Q553="Concluído"),"",Y553-TODAY())</f>
        <v/>
      </c>
      <c r="AB553" s="5" t="n"/>
      <c r="AC553" s="5" t="n"/>
      <c r="AD553" s="4" t="n"/>
    </row>
    <row r="554">
      <c r="A554" s="3">
        <f>IF(C554="","",ROW()-1)</f>
        <v/>
      </c>
      <c r="B554" s="4" t="n"/>
      <c r="C554" s="4" t="n"/>
      <c r="D554" s="5" t="n"/>
      <c r="E554" s="5" t="n"/>
      <c r="F554" s="5" t="n"/>
      <c r="G554" s="5" t="n"/>
      <c r="H554" s="5" t="n"/>
      <c r="I554" s="5" t="n"/>
      <c r="J554" s="5" t="n"/>
      <c r="K554" s="6" t="n"/>
      <c r="L554" s="6" t="n"/>
      <c r="M554" s="6" t="n"/>
      <c r="N554" s="5" t="n"/>
      <c r="O554" s="21" t="n"/>
      <c r="P554" s="5" t="n"/>
      <c r="Q554" s="5" t="n"/>
      <c r="R554" s="6" t="n"/>
      <c r="S554" s="4" t="n"/>
      <c r="T554" s="4" t="n"/>
      <c r="U554" s="3">
        <f>IF(C554="","",IF(T554="",TODAY()-C554,T554-C554))</f>
        <v/>
      </c>
      <c r="V554" s="5" t="n"/>
      <c r="W554" s="6" t="n"/>
      <c r="X554" s="3">
        <f>IF(P554="","",IFERROR(VLOOKUP(P554,Parâmetros!$J$2:$K$5,2,FALSE),""))</f>
        <v/>
      </c>
      <c r="Y554" s="4">
        <f>IF(OR(C554="",X554=""),"",C554+X554)</f>
        <v/>
      </c>
      <c r="Z554" s="5">
        <f>IF(C554="","",IF(Q554="Concluído","Concluído",IF(Y554&lt;TODAY(),"Vencido",IF(Y554-TODAY()&lt;=2,"A vencer","No prazo"))))</f>
        <v/>
      </c>
      <c r="AA554" s="3">
        <f>IF(OR(Y554="",Q554="Concluído"),"",Y554-TODAY())</f>
        <v/>
      </c>
      <c r="AB554" s="5" t="n"/>
      <c r="AC554" s="5" t="n"/>
      <c r="AD554" s="4" t="n"/>
    </row>
    <row r="555">
      <c r="A555" s="3">
        <f>IF(C555="","",ROW()-1)</f>
        <v/>
      </c>
      <c r="B555" s="4" t="n"/>
      <c r="C555" s="4" t="n"/>
      <c r="D555" s="5" t="n"/>
      <c r="E555" s="5" t="n"/>
      <c r="F555" s="5" t="n"/>
      <c r="G555" s="5" t="n"/>
      <c r="H555" s="5" t="n"/>
      <c r="I555" s="5" t="n"/>
      <c r="J555" s="5" t="n"/>
      <c r="K555" s="6" t="n"/>
      <c r="L555" s="6" t="n"/>
      <c r="M555" s="6" t="n"/>
      <c r="N555" s="5" t="n"/>
      <c r="O555" s="21" t="n"/>
      <c r="P555" s="5" t="n"/>
      <c r="Q555" s="5" t="n"/>
      <c r="R555" s="6" t="n"/>
      <c r="S555" s="4" t="n"/>
      <c r="T555" s="4" t="n"/>
      <c r="U555" s="3">
        <f>IF(C555="","",IF(T555="",TODAY()-C555,T555-C555))</f>
        <v/>
      </c>
      <c r="V555" s="5" t="n"/>
      <c r="W555" s="6" t="n"/>
      <c r="X555" s="3">
        <f>IF(P555="","",IFERROR(VLOOKUP(P555,Parâmetros!$J$2:$K$5,2,FALSE),""))</f>
        <v/>
      </c>
      <c r="Y555" s="4">
        <f>IF(OR(C555="",X555=""),"",C555+X555)</f>
        <v/>
      </c>
      <c r="Z555" s="5">
        <f>IF(C555="","",IF(Q555="Concluído","Concluído",IF(Y555&lt;TODAY(),"Vencido",IF(Y555-TODAY()&lt;=2,"A vencer","No prazo"))))</f>
        <v/>
      </c>
      <c r="AA555" s="3">
        <f>IF(OR(Y555="",Q555="Concluído"),"",Y555-TODAY())</f>
        <v/>
      </c>
      <c r="AB555" s="5" t="n"/>
      <c r="AC555" s="5" t="n"/>
      <c r="AD555" s="4" t="n"/>
    </row>
    <row r="556">
      <c r="A556" s="3">
        <f>IF(C556="","",ROW()-1)</f>
        <v/>
      </c>
      <c r="B556" s="4" t="n"/>
      <c r="C556" s="4" t="n"/>
      <c r="D556" s="5" t="n"/>
      <c r="E556" s="5" t="n"/>
      <c r="F556" s="5" t="n"/>
      <c r="G556" s="5" t="n"/>
      <c r="H556" s="5" t="n"/>
      <c r="I556" s="5" t="n"/>
      <c r="J556" s="5" t="n"/>
      <c r="K556" s="6" t="n"/>
      <c r="L556" s="6" t="n"/>
      <c r="M556" s="6" t="n"/>
      <c r="N556" s="5" t="n"/>
      <c r="O556" s="21" t="n"/>
      <c r="P556" s="5" t="n"/>
      <c r="Q556" s="5" t="n"/>
      <c r="R556" s="6" t="n"/>
      <c r="S556" s="4" t="n"/>
      <c r="T556" s="4" t="n"/>
      <c r="U556" s="3">
        <f>IF(C556="","",IF(T556="",TODAY()-C556,T556-C556))</f>
        <v/>
      </c>
      <c r="V556" s="5" t="n"/>
      <c r="W556" s="6" t="n"/>
      <c r="X556" s="3">
        <f>IF(P556="","",IFERROR(VLOOKUP(P556,Parâmetros!$J$2:$K$5,2,FALSE),""))</f>
        <v/>
      </c>
      <c r="Y556" s="4">
        <f>IF(OR(C556="",X556=""),"",C556+X556)</f>
        <v/>
      </c>
      <c r="Z556" s="5">
        <f>IF(C556="","",IF(Q556="Concluído","Concluído",IF(Y556&lt;TODAY(),"Vencido",IF(Y556-TODAY()&lt;=2,"A vencer","No prazo"))))</f>
        <v/>
      </c>
      <c r="AA556" s="3">
        <f>IF(OR(Y556="",Q556="Concluído"),"",Y556-TODAY())</f>
        <v/>
      </c>
      <c r="AB556" s="5" t="n"/>
      <c r="AC556" s="5" t="n"/>
      <c r="AD556" s="4" t="n"/>
    </row>
    <row r="557">
      <c r="A557" s="3">
        <f>IF(C557="","",ROW()-1)</f>
        <v/>
      </c>
      <c r="B557" s="4" t="n"/>
      <c r="C557" s="4" t="n"/>
      <c r="D557" s="5" t="n"/>
      <c r="E557" s="5" t="n"/>
      <c r="F557" s="5" t="n"/>
      <c r="G557" s="5" t="n"/>
      <c r="H557" s="5" t="n"/>
      <c r="I557" s="5" t="n"/>
      <c r="J557" s="5" t="n"/>
      <c r="K557" s="6" t="n"/>
      <c r="L557" s="6" t="n"/>
      <c r="M557" s="6" t="n"/>
      <c r="N557" s="5" t="n"/>
      <c r="O557" s="21" t="n"/>
      <c r="P557" s="5" t="n"/>
      <c r="Q557" s="5" t="n"/>
      <c r="R557" s="6" t="n"/>
      <c r="S557" s="4" t="n"/>
      <c r="T557" s="4" t="n"/>
      <c r="U557" s="3">
        <f>IF(C557="","",IF(T557="",TODAY()-C557,T557-C557))</f>
        <v/>
      </c>
      <c r="V557" s="5" t="n"/>
      <c r="W557" s="6" t="n"/>
      <c r="X557" s="3">
        <f>IF(P557="","",IFERROR(VLOOKUP(P557,Parâmetros!$J$2:$K$5,2,FALSE),""))</f>
        <v/>
      </c>
      <c r="Y557" s="4">
        <f>IF(OR(C557="",X557=""),"",C557+X557)</f>
        <v/>
      </c>
      <c r="Z557" s="5">
        <f>IF(C557="","",IF(Q557="Concluído","Concluído",IF(Y557&lt;TODAY(),"Vencido",IF(Y557-TODAY()&lt;=2,"A vencer","No prazo"))))</f>
        <v/>
      </c>
      <c r="AA557" s="3">
        <f>IF(OR(Y557="",Q557="Concluído"),"",Y557-TODAY())</f>
        <v/>
      </c>
      <c r="AB557" s="5" t="n"/>
      <c r="AC557" s="5" t="n"/>
      <c r="AD557" s="4" t="n"/>
    </row>
    <row r="558">
      <c r="A558" s="3">
        <f>IF(C558="","",ROW()-1)</f>
        <v/>
      </c>
      <c r="B558" s="4" t="n"/>
      <c r="C558" s="4" t="n"/>
      <c r="D558" s="5" t="n"/>
      <c r="E558" s="5" t="n"/>
      <c r="F558" s="5" t="n"/>
      <c r="G558" s="5" t="n"/>
      <c r="H558" s="5" t="n"/>
      <c r="I558" s="5" t="n"/>
      <c r="J558" s="5" t="n"/>
      <c r="K558" s="6" t="n"/>
      <c r="L558" s="6" t="n"/>
      <c r="M558" s="6" t="n"/>
      <c r="N558" s="5" t="n"/>
      <c r="O558" s="21" t="n"/>
      <c r="P558" s="5" t="n"/>
      <c r="Q558" s="5" t="n"/>
      <c r="R558" s="6" t="n"/>
      <c r="S558" s="4" t="n"/>
      <c r="T558" s="4" t="n"/>
      <c r="U558" s="3">
        <f>IF(C558="","",IF(T558="",TODAY()-C558,T558-C558))</f>
        <v/>
      </c>
      <c r="V558" s="5" t="n"/>
      <c r="W558" s="6" t="n"/>
      <c r="X558" s="3">
        <f>IF(P558="","",IFERROR(VLOOKUP(P558,Parâmetros!$J$2:$K$5,2,FALSE),""))</f>
        <v/>
      </c>
      <c r="Y558" s="4">
        <f>IF(OR(C558="",X558=""),"",C558+X558)</f>
        <v/>
      </c>
      <c r="Z558" s="5">
        <f>IF(C558="","",IF(Q558="Concluído","Concluído",IF(Y558&lt;TODAY(),"Vencido",IF(Y558-TODAY()&lt;=2,"A vencer","No prazo"))))</f>
        <v/>
      </c>
      <c r="AA558" s="3">
        <f>IF(OR(Y558="",Q558="Concluído"),"",Y558-TODAY())</f>
        <v/>
      </c>
      <c r="AB558" s="5" t="n"/>
      <c r="AC558" s="5" t="n"/>
      <c r="AD558" s="4" t="n"/>
    </row>
    <row r="559">
      <c r="A559" s="3">
        <f>IF(C559="","",ROW()-1)</f>
        <v/>
      </c>
      <c r="B559" s="4" t="n"/>
      <c r="C559" s="4" t="n"/>
      <c r="D559" s="5" t="n"/>
      <c r="E559" s="5" t="n"/>
      <c r="F559" s="5" t="n"/>
      <c r="G559" s="5" t="n"/>
      <c r="H559" s="5" t="n"/>
      <c r="I559" s="5" t="n"/>
      <c r="J559" s="5" t="n"/>
      <c r="K559" s="6" t="n"/>
      <c r="L559" s="6" t="n"/>
      <c r="M559" s="6" t="n"/>
      <c r="N559" s="5" t="n"/>
      <c r="O559" s="21" t="n"/>
      <c r="P559" s="5" t="n"/>
      <c r="Q559" s="5" t="n"/>
      <c r="R559" s="6" t="n"/>
      <c r="S559" s="4" t="n"/>
      <c r="T559" s="4" t="n"/>
      <c r="U559" s="3">
        <f>IF(C559="","",IF(T559="",TODAY()-C559,T559-C559))</f>
        <v/>
      </c>
      <c r="V559" s="5" t="n"/>
      <c r="W559" s="6" t="n"/>
      <c r="X559" s="3">
        <f>IF(P559="","",IFERROR(VLOOKUP(P559,Parâmetros!$J$2:$K$5,2,FALSE),""))</f>
        <v/>
      </c>
      <c r="Y559" s="4">
        <f>IF(OR(C559="",X559=""),"",C559+X559)</f>
        <v/>
      </c>
      <c r="Z559" s="5">
        <f>IF(C559="","",IF(Q559="Concluído","Concluído",IF(Y559&lt;TODAY(),"Vencido",IF(Y559-TODAY()&lt;=2,"A vencer","No prazo"))))</f>
        <v/>
      </c>
      <c r="AA559" s="3">
        <f>IF(OR(Y559="",Q559="Concluído"),"",Y559-TODAY())</f>
        <v/>
      </c>
      <c r="AB559" s="5" t="n"/>
      <c r="AC559" s="5" t="n"/>
      <c r="AD559" s="4" t="n"/>
    </row>
    <row r="560">
      <c r="A560" s="3">
        <f>IF(C560="","",ROW()-1)</f>
        <v/>
      </c>
      <c r="B560" s="4" t="n"/>
      <c r="C560" s="4" t="n"/>
      <c r="D560" s="5" t="n"/>
      <c r="E560" s="5" t="n"/>
      <c r="F560" s="5" t="n"/>
      <c r="G560" s="5" t="n"/>
      <c r="H560" s="5" t="n"/>
      <c r="I560" s="5" t="n"/>
      <c r="J560" s="5" t="n"/>
      <c r="K560" s="6" t="n"/>
      <c r="L560" s="6" t="n"/>
      <c r="M560" s="6" t="n"/>
      <c r="N560" s="5" t="n"/>
      <c r="O560" s="21" t="n"/>
      <c r="P560" s="5" t="n"/>
      <c r="Q560" s="5" t="n"/>
      <c r="R560" s="6" t="n"/>
      <c r="S560" s="4" t="n"/>
      <c r="T560" s="4" t="n"/>
      <c r="U560" s="3">
        <f>IF(C560="","",IF(T560="",TODAY()-C560,T560-C560))</f>
        <v/>
      </c>
      <c r="V560" s="5" t="n"/>
      <c r="W560" s="6" t="n"/>
      <c r="X560" s="3">
        <f>IF(P560="","",IFERROR(VLOOKUP(P560,Parâmetros!$J$2:$K$5,2,FALSE),""))</f>
        <v/>
      </c>
      <c r="Y560" s="4">
        <f>IF(OR(C560="",X560=""),"",C560+X560)</f>
        <v/>
      </c>
      <c r="Z560" s="5">
        <f>IF(C560="","",IF(Q560="Concluído","Concluído",IF(Y560&lt;TODAY(),"Vencido",IF(Y560-TODAY()&lt;=2,"A vencer","No prazo"))))</f>
        <v/>
      </c>
      <c r="AA560" s="3">
        <f>IF(OR(Y560="",Q560="Concluído"),"",Y560-TODAY())</f>
        <v/>
      </c>
      <c r="AB560" s="5" t="n"/>
      <c r="AC560" s="5" t="n"/>
      <c r="AD560" s="4" t="n"/>
    </row>
    <row r="561">
      <c r="A561" s="3">
        <f>IF(C561="","",ROW()-1)</f>
        <v/>
      </c>
      <c r="B561" s="4" t="n"/>
      <c r="C561" s="4" t="n"/>
      <c r="D561" s="5" t="n"/>
      <c r="E561" s="5" t="n"/>
      <c r="F561" s="5" t="n"/>
      <c r="G561" s="5" t="n"/>
      <c r="H561" s="5" t="n"/>
      <c r="I561" s="5" t="n"/>
      <c r="J561" s="5" t="n"/>
      <c r="K561" s="6" t="n"/>
      <c r="L561" s="6" t="n"/>
      <c r="M561" s="6" t="n"/>
      <c r="N561" s="5" t="n"/>
      <c r="O561" s="21" t="n"/>
      <c r="P561" s="5" t="n"/>
      <c r="Q561" s="5" t="n"/>
      <c r="R561" s="6" t="n"/>
      <c r="S561" s="4" t="n"/>
      <c r="T561" s="4" t="n"/>
      <c r="U561" s="3">
        <f>IF(C561="","",IF(T561="",TODAY()-C561,T561-C561))</f>
        <v/>
      </c>
      <c r="V561" s="5" t="n"/>
      <c r="W561" s="6" t="n"/>
      <c r="X561" s="3">
        <f>IF(P561="","",IFERROR(VLOOKUP(P561,Parâmetros!$J$2:$K$5,2,FALSE),""))</f>
        <v/>
      </c>
      <c r="Y561" s="4">
        <f>IF(OR(C561="",X561=""),"",C561+X561)</f>
        <v/>
      </c>
      <c r="Z561" s="5">
        <f>IF(C561="","",IF(Q561="Concluído","Concluído",IF(Y561&lt;TODAY(),"Vencido",IF(Y561-TODAY()&lt;=2,"A vencer","No prazo"))))</f>
        <v/>
      </c>
      <c r="AA561" s="3">
        <f>IF(OR(Y561="",Q561="Concluído"),"",Y561-TODAY())</f>
        <v/>
      </c>
      <c r="AB561" s="5" t="n"/>
      <c r="AC561" s="5" t="n"/>
      <c r="AD561" s="4" t="n"/>
    </row>
    <row r="562">
      <c r="A562" s="3">
        <f>IF(C562="","",ROW()-1)</f>
        <v/>
      </c>
      <c r="B562" s="4" t="n"/>
      <c r="C562" s="4" t="n"/>
      <c r="D562" s="5" t="n"/>
      <c r="E562" s="5" t="n"/>
      <c r="F562" s="5" t="n"/>
      <c r="G562" s="5" t="n"/>
      <c r="H562" s="5" t="n"/>
      <c r="I562" s="5" t="n"/>
      <c r="J562" s="5" t="n"/>
      <c r="K562" s="6" t="n"/>
      <c r="L562" s="6" t="n"/>
      <c r="M562" s="6" t="n"/>
      <c r="N562" s="5" t="n"/>
      <c r="O562" s="21" t="n"/>
      <c r="P562" s="5" t="n"/>
      <c r="Q562" s="5" t="n"/>
      <c r="R562" s="6" t="n"/>
      <c r="S562" s="4" t="n"/>
      <c r="T562" s="4" t="n"/>
      <c r="U562" s="3">
        <f>IF(C562="","",IF(T562="",TODAY()-C562,T562-C562))</f>
        <v/>
      </c>
      <c r="V562" s="5" t="n"/>
      <c r="W562" s="6" t="n"/>
      <c r="X562" s="3">
        <f>IF(P562="","",IFERROR(VLOOKUP(P562,Parâmetros!$J$2:$K$5,2,FALSE),""))</f>
        <v/>
      </c>
      <c r="Y562" s="4">
        <f>IF(OR(C562="",X562=""),"",C562+X562)</f>
        <v/>
      </c>
      <c r="Z562" s="5">
        <f>IF(C562="","",IF(Q562="Concluído","Concluído",IF(Y562&lt;TODAY(),"Vencido",IF(Y562-TODAY()&lt;=2,"A vencer","No prazo"))))</f>
        <v/>
      </c>
      <c r="AA562" s="3">
        <f>IF(OR(Y562="",Q562="Concluído"),"",Y562-TODAY())</f>
        <v/>
      </c>
      <c r="AB562" s="5" t="n"/>
      <c r="AC562" s="5" t="n"/>
      <c r="AD562" s="4" t="n"/>
    </row>
    <row r="563">
      <c r="A563" s="3">
        <f>IF(C563="","",ROW()-1)</f>
        <v/>
      </c>
      <c r="B563" s="4" t="n"/>
      <c r="C563" s="4" t="n"/>
      <c r="D563" s="5" t="n"/>
      <c r="E563" s="5" t="n"/>
      <c r="F563" s="5" t="n"/>
      <c r="G563" s="5" t="n"/>
      <c r="H563" s="5" t="n"/>
      <c r="I563" s="5" t="n"/>
      <c r="J563" s="5" t="n"/>
      <c r="K563" s="6" t="n"/>
      <c r="L563" s="6" t="n"/>
      <c r="M563" s="6" t="n"/>
      <c r="N563" s="5" t="n"/>
      <c r="O563" s="21" t="n"/>
      <c r="P563" s="5" t="n"/>
      <c r="Q563" s="5" t="n"/>
      <c r="R563" s="6" t="n"/>
      <c r="S563" s="4" t="n"/>
      <c r="T563" s="4" t="n"/>
      <c r="U563" s="3">
        <f>IF(C563="","",IF(T563="",TODAY()-C563,T563-C563))</f>
        <v/>
      </c>
      <c r="V563" s="5" t="n"/>
      <c r="W563" s="6" t="n"/>
      <c r="X563" s="3">
        <f>IF(P563="","",IFERROR(VLOOKUP(P563,Parâmetros!$J$2:$K$5,2,FALSE),""))</f>
        <v/>
      </c>
      <c r="Y563" s="4">
        <f>IF(OR(C563="",X563=""),"",C563+X563)</f>
        <v/>
      </c>
      <c r="Z563" s="5">
        <f>IF(C563="","",IF(Q563="Concluído","Concluído",IF(Y563&lt;TODAY(),"Vencido",IF(Y563-TODAY()&lt;=2,"A vencer","No prazo"))))</f>
        <v/>
      </c>
      <c r="AA563" s="3">
        <f>IF(OR(Y563="",Q563="Concluído"),"",Y563-TODAY())</f>
        <v/>
      </c>
      <c r="AB563" s="5" t="n"/>
      <c r="AC563" s="5" t="n"/>
      <c r="AD563" s="4" t="n"/>
    </row>
    <row r="564">
      <c r="A564" s="3">
        <f>IF(C564="","",ROW()-1)</f>
        <v/>
      </c>
      <c r="B564" s="4" t="n"/>
      <c r="C564" s="4" t="n"/>
      <c r="D564" s="5" t="n"/>
      <c r="E564" s="5" t="n"/>
      <c r="F564" s="5" t="n"/>
      <c r="G564" s="5" t="n"/>
      <c r="H564" s="5" t="n"/>
      <c r="I564" s="5" t="n"/>
      <c r="J564" s="5" t="n"/>
      <c r="K564" s="6" t="n"/>
      <c r="L564" s="6" t="n"/>
      <c r="M564" s="6" t="n"/>
      <c r="N564" s="5" t="n"/>
      <c r="O564" s="21" t="n"/>
      <c r="P564" s="5" t="n"/>
      <c r="Q564" s="5" t="n"/>
      <c r="R564" s="6" t="n"/>
      <c r="S564" s="4" t="n"/>
      <c r="T564" s="4" t="n"/>
      <c r="U564" s="3">
        <f>IF(C564="","",IF(T564="",TODAY()-C564,T564-C564))</f>
        <v/>
      </c>
      <c r="V564" s="5" t="n"/>
      <c r="W564" s="6" t="n"/>
      <c r="X564" s="3">
        <f>IF(P564="","",IFERROR(VLOOKUP(P564,Parâmetros!$J$2:$K$5,2,FALSE),""))</f>
        <v/>
      </c>
      <c r="Y564" s="4">
        <f>IF(OR(C564="",X564=""),"",C564+X564)</f>
        <v/>
      </c>
      <c r="Z564" s="5">
        <f>IF(C564="","",IF(Q564="Concluído","Concluído",IF(Y564&lt;TODAY(),"Vencido",IF(Y564-TODAY()&lt;=2,"A vencer","No prazo"))))</f>
        <v/>
      </c>
      <c r="AA564" s="3">
        <f>IF(OR(Y564="",Q564="Concluído"),"",Y564-TODAY())</f>
        <v/>
      </c>
      <c r="AB564" s="5" t="n"/>
      <c r="AC564" s="5" t="n"/>
      <c r="AD564" s="4" t="n"/>
    </row>
    <row r="565">
      <c r="A565" s="3">
        <f>IF(C565="","",ROW()-1)</f>
        <v/>
      </c>
      <c r="B565" s="4" t="n"/>
      <c r="C565" s="4" t="n"/>
      <c r="D565" s="5" t="n"/>
      <c r="E565" s="5" t="n"/>
      <c r="F565" s="5" t="n"/>
      <c r="G565" s="5" t="n"/>
      <c r="H565" s="5" t="n"/>
      <c r="I565" s="5" t="n"/>
      <c r="J565" s="5" t="n"/>
      <c r="K565" s="6" t="n"/>
      <c r="L565" s="6" t="n"/>
      <c r="M565" s="6" t="n"/>
      <c r="N565" s="5" t="n"/>
      <c r="O565" s="21" t="n"/>
      <c r="P565" s="5" t="n"/>
      <c r="Q565" s="5" t="n"/>
      <c r="R565" s="6" t="n"/>
      <c r="S565" s="4" t="n"/>
      <c r="T565" s="4" t="n"/>
      <c r="U565" s="3">
        <f>IF(C565="","",IF(T565="",TODAY()-C565,T565-C565))</f>
        <v/>
      </c>
      <c r="V565" s="5" t="n"/>
      <c r="W565" s="6" t="n"/>
      <c r="X565" s="3">
        <f>IF(P565="","",IFERROR(VLOOKUP(P565,Parâmetros!$J$2:$K$5,2,FALSE),""))</f>
        <v/>
      </c>
      <c r="Y565" s="4">
        <f>IF(OR(C565="",X565=""),"",C565+X565)</f>
        <v/>
      </c>
      <c r="Z565" s="5">
        <f>IF(C565="","",IF(Q565="Concluído","Concluído",IF(Y565&lt;TODAY(),"Vencido",IF(Y565-TODAY()&lt;=2,"A vencer","No prazo"))))</f>
        <v/>
      </c>
      <c r="AA565" s="3">
        <f>IF(OR(Y565="",Q565="Concluído"),"",Y565-TODAY())</f>
        <v/>
      </c>
      <c r="AB565" s="5" t="n"/>
      <c r="AC565" s="5" t="n"/>
      <c r="AD565" s="4" t="n"/>
    </row>
    <row r="566">
      <c r="A566" s="3">
        <f>IF(C566="","",ROW()-1)</f>
        <v/>
      </c>
      <c r="B566" s="4" t="n"/>
      <c r="C566" s="4" t="n"/>
      <c r="D566" s="5" t="n"/>
      <c r="E566" s="5" t="n"/>
      <c r="F566" s="5" t="n"/>
      <c r="G566" s="5" t="n"/>
      <c r="H566" s="5" t="n"/>
      <c r="I566" s="5" t="n"/>
      <c r="J566" s="5" t="n"/>
      <c r="K566" s="6" t="n"/>
      <c r="L566" s="6" t="n"/>
      <c r="M566" s="6" t="n"/>
      <c r="N566" s="5" t="n"/>
      <c r="O566" s="21" t="n"/>
      <c r="P566" s="5" t="n"/>
      <c r="Q566" s="5" t="n"/>
      <c r="R566" s="6" t="n"/>
      <c r="S566" s="4" t="n"/>
      <c r="T566" s="4" t="n"/>
      <c r="U566" s="3">
        <f>IF(C566="","",IF(T566="",TODAY()-C566,T566-C566))</f>
        <v/>
      </c>
      <c r="V566" s="5" t="n"/>
      <c r="W566" s="6" t="n"/>
      <c r="X566" s="3">
        <f>IF(P566="","",IFERROR(VLOOKUP(P566,Parâmetros!$J$2:$K$5,2,FALSE),""))</f>
        <v/>
      </c>
      <c r="Y566" s="4">
        <f>IF(OR(C566="",X566=""),"",C566+X566)</f>
        <v/>
      </c>
      <c r="Z566" s="5">
        <f>IF(C566="","",IF(Q566="Concluído","Concluído",IF(Y566&lt;TODAY(),"Vencido",IF(Y566-TODAY()&lt;=2,"A vencer","No prazo"))))</f>
        <v/>
      </c>
      <c r="AA566" s="3">
        <f>IF(OR(Y566="",Q566="Concluído"),"",Y566-TODAY())</f>
        <v/>
      </c>
      <c r="AB566" s="5" t="n"/>
      <c r="AC566" s="5" t="n"/>
      <c r="AD566" s="4" t="n"/>
    </row>
    <row r="567">
      <c r="A567" s="3">
        <f>IF(C567="","",ROW()-1)</f>
        <v/>
      </c>
      <c r="B567" s="4" t="n"/>
      <c r="C567" s="4" t="n"/>
      <c r="D567" s="5" t="n"/>
      <c r="E567" s="5" t="n"/>
      <c r="F567" s="5" t="n"/>
      <c r="G567" s="5" t="n"/>
      <c r="H567" s="5" t="n"/>
      <c r="I567" s="5" t="n"/>
      <c r="J567" s="5" t="n"/>
      <c r="K567" s="6" t="n"/>
      <c r="L567" s="6" t="n"/>
      <c r="M567" s="6" t="n"/>
      <c r="N567" s="5" t="n"/>
      <c r="O567" s="21" t="n"/>
      <c r="P567" s="5" t="n"/>
      <c r="Q567" s="5" t="n"/>
      <c r="R567" s="6" t="n"/>
      <c r="S567" s="4" t="n"/>
      <c r="T567" s="4" t="n"/>
      <c r="U567" s="3">
        <f>IF(C567="","",IF(T567="",TODAY()-C567,T567-C567))</f>
        <v/>
      </c>
      <c r="V567" s="5" t="n"/>
      <c r="W567" s="6" t="n"/>
      <c r="X567" s="3">
        <f>IF(P567="","",IFERROR(VLOOKUP(P567,Parâmetros!$J$2:$K$5,2,FALSE),""))</f>
        <v/>
      </c>
      <c r="Y567" s="4">
        <f>IF(OR(C567="",X567=""),"",C567+X567)</f>
        <v/>
      </c>
      <c r="Z567" s="5">
        <f>IF(C567="","",IF(Q567="Concluído","Concluído",IF(Y567&lt;TODAY(),"Vencido",IF(Y567-TODAY()&lt;=2,"A vencer","No prazo"))))</f>
        <v/>
      </c>
      <c r="AA567" s="3">
        <f>IF(OR(Y567="",Q567="Concluído"),"",Y567-TODAY())</f>
        <v/>
      </c>
      <c r="AB567" s="5" t="n"/>
      <c r="AC567" s="5" t="n"/>
      <c r="AD567" s="4" t="n"/>
    </row>
    <row r="568">
      <c r="A568" s="3">
        <f>IF(C568="","",ROW()-1)</f>
        <v/>
      </c>
      <c r="B568" s="4" t="n"/>
      <c r="C568" s="4" t="n"/>
      <c r="D568" s="5" t="n"/>
      <c r="E568" s="5" t="n"/>
      <c r="F568" s="5" t="n"/>
      <c r="G568" s="5" t="n"/>
      <c r="H568" s="5" t="n"/>
      <c r="I568" s="5" t="n"/>
      <c r="J568" s="5" t="n"/>
      <c r="K568" s="6" t="n"/>
      <c r="L568" s="6" t="n"/>
      <c r="M568" s="6" t="n"/>
      <c r="N568" s="5" t="n"/>
      <c r="O568" s="21" t="n"/>
      <c r="P568" s="5" t="n"/>
      <c r="Q568" s="5" t="n"/>
      <c r="R568" s="6" t="n"/>
      <c r="S568" s="4" t="n"/>
      <c r="T568" s="4" t="n"/>
      <c r="U568" s="3">
        <f>IF(C568="","",IF(T568="",TODAY()-C568,T568-C568))</f>
        <v/>
      </c>
      <c r="V568" s="5" t="n"/>
      <c r="W568" s="6" t="n"/>
      <c r="X568" s="3">
        <f>IF(P568="","",IFERROR(VLOOKUP(P568,Parâmetros!$J$2:$K$5,2,FALSE),""))</f>
        <v/>
      </c>
      <c r="Y568" s="4">
        <f>IF(OR(C568="",X568=""),"",C568+X568)</f>
        <v/>
      </c>
      <c r="Z568" s="5">
        <f>IF(C568="","",IF(Q568="Concluído","Concluído",IF(Y568&lt;TODAY(),"Vencido",IF(Y568-TODAY()&lt;=2,"A vencer","No prazo"))))</f>
        <v/>
      </c>
      <c r="AA568" s="3">
        <f>IF(OR(Y568="",Q568="Concluído"),"",Y568-TODAY())</f>
        <v/>
      </c>
      <c r="AB568" s="5" t="n"/>
      <c r="AC568" s="5" t="n"/>
      <c r="AD568" s="4" t="n"/>
    </row>
    <row r="569">
      <c r="A569" s="3">
        <f>IF(C569="","",ROW()-1)</f>
        <v/>
      </c>
      <c r="B569" s="4" t="n"/>
      <c r="C569" s="4" t="n"/>
      <c r="D569" s="5" t="n"/>
      <c r="E569" s="5" t="n"/>
      <c r="F569" s="5" t="n"/>
      <c r="G569" s="5" t="n"/>
      <c r="H569" s="5" t="n"/>
      <c r="I569" s="5" t="n"/>
      <c r="J569" s="5" t="n"/>
      <c r="K569" s="6" t="n"/>
      <c r="L569" s="6" t="n"/>
      <c r="M569" s="6" t="n"/>
      <c r="N569" s="5" t="n"/>
      <c r="O569" s="21" t="n"/>
      <c r="P569" s="5" t="n"/>
      <c r="Q569" s="5" t="n"/>
      <c r="R569" s="6" t="n"/>
      <c r="S569" s="4" t="n"/>
      <c r="T569" s="4" t="n"/>
      <c r="U569" s="3">
        <f>IF(C569="","",IF(T569="",TODAY()-C569,T569-C569))</f>
        <v/>
      </c>
      <c r="V569" s="5" t="n"/>
      <c r="W569" s="6" t="n"/>
      <c r="X569" s="3">
        <f>IF(P569="","",IFERROR(VLOOKUP(P569,Parâmetros!$J$2:$K$5,2,FALSE),""))</f>
        <v/>
      </c>
      <c r="Y569" s="4">
        <f>IF(OR(C569="",X569=""),"",C569+X569)</f>
        <v/>
      </c>
      <c r="Z569" s="5">
        <f>IF(C569="","",IF(Q569="Concluído","Concluído",IF(Y569&lt;TODAY(),"Vencido",IF(Y569-TODAY()&lt;=2,"A vencer","No prazo"))))</f>
        <v/>
      </c>
      <c r="AA569" s="3">
        <f>IF(OR(Y569="",Q569="Concluído"),"",Y569-TODAY())</f>
        <v/>
      </c>
      <c r="AB569" s="5" t="n"/>
      <c r="AC569" s="5" t="n"/>
      <c r="AD569" s="4" t="n"/>
    </row>
    <row r="570">
      <c r="A570" s="3">
        <f>IF(C570="","",ROW()-1)</f>
        <v/>
      </c>
      <c r="B570" s="4" t="n"/>
      <c r="C570" s="4" t="n"/>
      <c r="D570" s="5" t="n"/>
      <c r="E570" s="5" t="n"/>
      <c r="F570" s="5" t="n"/>
      <c r="G570" s="5" t="n"/>
      <c r="H570" s="5" t="n"/>
      <c r="I570" s="5" t="n"/>
      <c r="J570" s="5" t="n"/>
      <c r="K570" s="6" t="n"/>
      <c r="L570" s="6" t="n"/>
      <c r="M570" s="6" t="n"/>
      <c r="N570" s="5" t="n"/>
      <c r="O570" s="21" t="n"/>
      <c r="P570" s="5" t="n"/>
      <c r="Q570" s="5" t="n"/>
      <c r="R570" s="6" t="n"/>
      <c r="S570" s="4" t="n"/>
      <c r="T570" s="4" t="n"/>
      <c r="U570" s="3">
        <f>IF(C570="","",IF(T570="",TODAY()-C570,T570-C570))</f>
        <v/>
      </c>
      <c r="V570" s="5" t="n"/>
      <c r="W570" s="6" t="n"/>
      <c r="X570" s="3">
        <f>IF(P570="","",IFERROR(VLOOKUP(P570,Parâmetros!$J$2:$K$5,2,FALSE),""))</f>
        <v/>
      </c>
      <c r="Y570" s="4">
        <f>IF(OR(C570="",X570=""),"",C570+X570)</f>
        <v/>
      </c>
      <c r="Z570" s="5">
        <f>IF(C570="","",IF(Q570="Concluído","Concluído",IF(Y570&lt;TODAY(),"Vencido",IF(Y570-TODAY()&lt;=2,"A vencer","No prazo"))))</f>
        <v/>
      </c>
      <c r="AA570" s="3">
        <f>IF(OR(Y570="",Q570="Concluído"),"",Y570-TODAY())</f>
        <v/>
      </c>
      <c r="AB570" s="5" t="n"/>
      <c r="AC570" s="5" t="n"/>
      <c r="AD570" s="4" t="n"/>
    </row>
    <row r="571">
      <c r="A571" s="3">
        <f>IF(C571="","",ROW()-1)</f>
        <v/>
      </c>
      <c r="B571" s="4" t="n"/>
      <c r="C571" s="4" t="n"/>
      <c r="D571" s="5" t="n"/>
      <c r="E571" s="5" t="n"/>
      <c r="F571" s="5" t="n"/>
      <c r="G571" s="5" t="n"/>
      <c r="H571" s="5" t="n"/>
      <c r="I571" s="5" t="n"/>
      <c r="J571" s="5" t="n"/>
      <c r="K571" s="6" t="n"/>
      <c r="L571" s="6" t="n"/>
      <c r="M571" s="6" t="n"/>
      <c r="N571" s="5" t="n"/>
      <c r="O571" s="21" t="n"/>
      <c r="P571" s="5" t="n"/>
      <c r="Q571" s="5" t="n"/>
      <c r="R571" s="6" t="n"/>
      <c r="S571" s="4" t="n"/>
      <c r="T571" s="4" t="n"/>
      <c r="U571" s="3">
        <f>IF(C571="","",IF(T571="",TODAY()-C571,T571-C571))</f>
        <v/>
      </c>
      <c r="V571" s="5" t="n"/>
      <c r="W571" s="6" t="n"/>
      <c r="X571" s="3">
        <f>IF(P571="","",IFERROR(VLOOKUP(P571,Parâmetros!$J$2:$K$5,2,FALSE),""))</f>
        <v/>
      </c>
      <c r="Y571" s="4">
        <f>IF(OR(C571="",X571=""),"",C571+X571)</f>
        <v/>
      </c>
      <c r="Z571" s="5">
        <f>IF(C571="","",IF(Q571="Concluído","Concluído",IF(Y571&lt;TODAY(),"Vencido",IF(Y571-TODAY()&lt;=2,"A vencer","No prazo"))))</f>
        <v/>
      </c>
      <c r="AA571" s="3">
        <f>IF(OR(Y571="",Q571="Concluído"),"",Y571-TODAY())</f>
        <v/>
      </c>
      <c r="AB571" s="5" t="n"/>
      <c r="AC571" s="5" t="n"/>
      <c r="AD571" s="4" t="n"/>
    </row>
    <row r="572">
      <c r="A572" s="3">
        <f>IF(C572="","",ROW()-1)</f>
        <v/>
      </c>
      <c r="B572" s="4" t="n"/>
      <c r="C572" s="4" t="n"/>
      <c r="D572" s="5" t="n"/>
      <c r="E572" s="5" t="n"/>
      <c r="F572" s="5" t="n"/>
      <c r="G572" s="5" t="n"/>
      <c r="H572" s="5" t="n"/>
      <c r="I572" s="5" t="n"/>
      <c r="J572" s="5" t="n"/>
      <c r="K572" s="6" t="n"/>
      <c r="L572" s="6" t="n"/>
      <c r="M572" s="6" t="n"/>
      <c r="N572" s="5" t="n"/>
      <c r="O572" s="21" t="n"/>
      <c r="P572" s="5" t="n"/>
      <c r="Q572" s="5" t="n"/>
      <c r="R572" s="6" t="n"/>
      <c r="S572" s="4" t="n"/>
      <c r="T572" s="4" t="n"/>
      <c r="U572" s="3">
        <f>IF(C572="","",IF(T572="",TODAY()-C572,T572-C572))</f>
        <v/>
      </c>
      <c r="V572" s="5" t="n"/>
      <c r="W572" s="6" t="n"/>
      <c r="X572" s="3">
        <f>IF(P572="","",IFERROR(VLOOKUP(P572,Parâmetros!$J$2:$K$5,2,FALSE),""))</f>
        <v/>
      </c>
      <c r="Y572" s="4">
        <f>IF(OR(C572="",X572=""),"",C572+X572)</f>
        <v/>
      </c>
      <c r="Z572" s="5">
        <f>IF(C572="","",IF(Q572="Concluído","Concluído",IF(Y572&lt;TODAY(),"Vencido",IF(Y572-TODAY()&lt;=2,"A vencer","No prazo"))))</f>
        <v/>
      </c>
      <c r="AA572" s="3">
        <f>IF(OR(Y572="",Q572="Concluído"),"",Y572-TODAY())</f>
        <v/>
      </c>
      <c r="AB572" s="5" t="n"/>
      <c r="AC572" s="5" t="n"/>
      <c r="AD572" s="4" t="n"/>
    </row>
    <row r="573">
      <c r="A573" s="3">
        <f>IF(C573="","",ROW()-1)</f>
        <v/>
      </c>
      <c r="B573" s="4" t="n"/>
      <c r="C573" s="4" t="n"/>
      <c r="D573" s="5" t="n"/>
      <c r="E573" s="5" t="n"/>
      <c r="F573" s="5" t="n"/>
      <c r="G573" s="5" t="n"/>
      <c r="H573" s="5" t="n"/>
      <c r="I573" s="5" t="n"/>
      <c r="J573" s="5" t="n"/>
      <c r="K573" s="6" t="n"/>
      <c r="L573" s="6" t="n"/>
      <c r="M573" s="6" t="n"/>
      <c r="N573" s="5" t="n"/>
      <c r="O573" s="21" t="n"/>
      <c r="P573" s="5" t="n"/>
      <c r="Q573" s="5" t="n"/>
      <c r="R573" s="6" t="n"/>
      <c r="S573" s="4" t="n"/>
      <c r="T573" s="4" t="n"/>
      <c r="U573" s="3">
        <f>IF(C573="","",IF(T573="",TODAY()-C573,T573-C573))</f>
        <v/>
      </c>
      <c r="V573" s="5" t="n"/>
      <c r="W573" s="6" t="n"/>
      <c r="X573" s="3">
        <f>IF(P573="","",IFERROR(VLOOKUP(P573,Parâmetros!$J$2:$K$5,2,FALSE),""))</f>
        <v/>
      </c>
      <c r="Y573" s="4">
        <f>IF(OR(C573="",X573=""),"",C573+X573)</f>
        <v/>
      </c>
      <c r="Z573" s="5">
        <f>IF(C573="","",IF(Q573="Concluído","Concluído",IF(Y573&lt;TODAY(),"Vencido",IF(Y573-TODAY()&lt;=2,"A vencer","No prazo"))))</f>
        <v/>
      </c>
      <c r="AA573" s="3">
        <f>IF(OR(Y573="",Q573="Concluído"),"",Y573-TODAY())</f>
        <v/>
      </c>
      <c r="AB573" s="5" t="n"/>
      <c r="AC573" s="5" t="n"/>
      <c r="AD573" s="4" t="n"/>
    </row>
    <row r="574">
      <c r="A574" s="3">
        <f>IF(C574="","",ROW()-1)</f>
        <v/>
      </c>
      <c r="B574" s="4" t="n"/>
      <c r="C574" s="4" t="n"/>
      <c r="D574" s="5" t="n"/>
      <c r="E574" s="5" t="n"/>
      <c r="F574" s="5" t="n"/>
      <c r="G574" s="5" t="n"/>
      <c r="H574" s="5" t="n"/>
      <c r="I574" s="5" t="n"/>
      <c r="J574" s="5" t="n"/>
      <c r="K574" s="6" t="n"/>
      <c r="L574" s="6" t="n"/>
      <c r="M574" s="6" t="n"/>
      <c r="N574" s="5" t="n"/>
      <c r="O574" s="21" t="n"/>
      <c r="P574" s="5" t="n"/>
      <c r="Q574" s="5" t="n"/>
      <c r="R574" s="6" t="n"/>
      <c r="S574" s="4" t="n"/>
      <c r="T574" s="4" t="n"/>
      <c r="U574" s="3">
        <f>IF(C574="","",IF(T574="",TODAY()-C574,T574-C574))</f>
        <v/>
      </c>
      <c r="V574" s="5" t="n"/>
      <c r="W574" s="6" t="n"/>
      <c r="X574" s="3">
        <f>IF(P574="","",IFERROR(VLOOKUP(P574,Parâmetros!$J$2:$K$5,2,FALSE),""))</f>
        <v/>
      </c>
      <c r="Y574" s="4">
        <f>IF(OR(C574="",X574=""),"",C574+X574)</f>
        <v/>
      </c>
      <c r="Z574" s="5">
        <f>IF(C574="","",IF(Q574="Concluído","Concluído",IF(Y574&lt;TODAY(),"Vencido",IF(Y574-TODAY()&lt;=2,"A vencer","No prazo"))))</f>
        <v/>
      </c>
      <c r="AA574" s="3">
        <f>IF(OR(Y574="",Q574="Concluído"),"",Y574-TODAY())</f>
        <v/>
      </c>
      <c r="AB574" s="5" t="n"/>
      <c r="AC574" s="5" t="n"/>
      <c r="AD574" s="4" t="n"/>
    </row>
    <row r="575">
      <c r="A575" s="3">
        <f>IF(C575="","",ROW()-1)</f>
        <v/>
      </c>
      <c r="B575" s="4" t="n"/>
      <c r="C575" s="4" t="n"/>
      <c r="D575" s="5" t="n"/>
      <c r="E575" s="5" t="n"/>
      <c r="F575" s="5" t="n"/>
      <c r="G575" s="5" t="n"/>
      <c r="H575" s="5" t="n"/>
      <c r="I575" s="5" t="n"/>
      <c r="J575" s="5" t="n"/>
      <c r="K575" s="6" t="n"/>
      <c r="L575" s="6" t="n"/>
      <c r="M575" s="6" t="n"/>
      <c r="N575" s="5" t="n"/>
      <c r="O575" s="21" t="n"/>
      <c r="P575" s="5" t="n"/>
      <c r="Q575" s="5" t="n"/>
      <c r="R575" s="6" t="n"/>
      <c r="S575" s="4" t="n"/>
      <c r="T575" s="4" t="n"/>
      <c r="U575" s="3">
        <f>IF(C575="","",IF(T575="",TODAY()-C575,T575-C575))</f>
        <v/>
      </c>
      <c r="V575" s="5" t="n"/>
      <c r="W575" s="6" t="n"/>
      <c r="X575" s="3">
        <f>IF(P575="","",IFERROR(VLOOKUP(P575,Parâmetros!$J$2:$K$5,2,FALSE),""))</f>
        <v/>
      </c>
      <c r="Y575" s="4">
        <f>IF(OR(C575="",X575=""),"",C575+X575)</f>
        <v/>
      </c>
      <c r="Z575" s="5">
        <f>IF(C575="","",IF(Q575="Concluído","Concluído",IF(Y575&lt;TODAY(),"Vencido",IF(Y575-TODAY()&lt;=2,"A vencer","No prazo"))))</f>
        <v/>
      </c>
      <c r="AA575" s="3">
        <f>IF(OR(Y575="",Q575="Concluído"),"",Y575-TODAY())</f>
        <v/>
      </c>
      <c r="AB575" s="5" t="n"/>
      <c r="AC575" s="5" t="n"/>
      <c r="AD575" s="4" t="n"/>
    </row>
    <row r="576">
      <c r="A576" s="3">
        <f>IF(C576="","",ROW()-1)</f>
        <v/>
      </c>
      <c r="B576" s="4" t="n"/>
      <c r="C576" s="4" t="n"/>
      <c r="D576" s="5" t="n"/>
      <c r="E576" s="5" t="n"/>
      <c r="F576" s="5" t="n"/>
      <c r="G576" s="5" t="n"/>
      <c r="H576" s="5" t="n"/>
      <c r="I576" s="5" t="n"/>
      <c r="J576" s="5" t="n"/>
      <c r="K576" s="6" t="n"/>
      <c r="L576" s="6" t="n"/>
      <c r="M576" s="6" t="n"/>
      <c r="N576" s="5" t="n"/>
      <c r="O576" s="21" t="n"/>
      <c r="P576" s="5" t="n"/>
      <c r="Q576" s="5" t="n"/>
      <c r="R576" s="6" t="n"/>
      <c r="S576" s="4" t="n"/>
      <c r="T576" s="4" t="n"/>
      <c r="U576" s="3">
        <f>IF(C576="","",IF(T576="",TODAY()-C576,T576-C576))</f>
        <v/>
      </c>
      <c r="V576" s="5" t="n"/>
      <c r="W576" s="6" t="n"/>
      <c r="X576" s="3">
        <f>IF(P576="","",IFERROR(VLOOKUP(P576,Parâmetros!$J$2:$K$5,2,FALSE),""))</f>
        <v/>
      </c>
      <c r="Y576" s="4">
        <f>IF(OR(C576="",X576=""),"",C576+X576)</f>
        <v/>
      </c>
      <c r="Z576" s="5">
        <f>IF(C576="","",IF(Q576="Concluído","Concluído",IF(Y576&lt;TODAY(),"Vencido",IF(Y576-TODAY()&lt;=2,"A vencer","No prazo"))))</f>
        <v/>
      </c>
      <c r="AA576" s="3">
        <f>IF(OR(Y576="",Q576="Concluído"),"",Y576-TODAY())</f>
        <v/>
      </c>
      <c r="AB576" s="5" t="n"/>
      <c r="AC576" s="5" t="n"/>
      <c r="AD576" s="4" t="n"/>
    </row>
    <row r="577">
      <c r="A577" s="3">
        <f>IF(C577="","",ROW()-1)</f>
        <v/>
      </c>
      <c r="B577" s="4" t="n"/>
      <c r="C577" s="4" t="n"/>
      <c r="D577" s="5" t="n"/>
      <c r="E577" s="5" t="n"/>
      <c r="F577" s="5" t="n"/>
      <c r="G577" s="5" t="n"/>
      <c r="H577" s="5" t="n"/>
      <c r="I577" s="5" t="n"/>
      <c r="J577" s="5" t="n"/>
      <c r="K577" s="6" t="n"/>
      <c r="L577" s="6" t="n"/>
      <c r="M577" s="6" t="n"/>
      <c r="N577" s="5" t="n"/>
      <c r="O577" s="21" t="n"/>
      <c r="P577" s="5" t="n"/>
      <c r="Q577" s="5" t="n"/>
      <c r="R577" s="6" t="n"/>
      <c r="S577" s="4" t="n"/>
      <c r="T577" s="4" t="n"/>
      <c r="U577" s="3">
        <f>IF(C577="","",IF(T577="",TODAY()-C577,T577-C577))</f>
        <v/>
      </c>
      <c r="V577" s="5" t="n"/>
      <c r="W577" s="6" t="n"/>
      <c r="X577" s="3">
        <f>IF(P577="","",IFERROR(VLOOKUP(P577,Parâmetros!$J$2:$K$5,2,FALSE),""))</f>
        <v/>
      </c>
      <c r="Y577" s="4">
        <f>IF(OR(C577="",X577=""),"",C577+X577)</f>
        <v/>
      </c>
      <c r="Z577" s="5">
        <f>IF(C577="","",IF(Q577="Concluído","Concluído",IF(Y577&lt;TODAY(),"Vencido",IF(Y577-TODAY()&lt;=2,"A vencer","No prazo"))))</f>
        <v/>
      </c>
      <c r="AA577" s="3">
        <f>IF(OR(Y577="",Q577="Concluído"),"",Y577-TODAY())</f>
        <v/>
      </c>
      <c r="AB577" s="5" t="n"/>
      <c r="AC577" s="5" t="n"/>
      <c r="AD577" s="4" t="n"/>
    </row>
    <row r="578">
      <c r="A578" s="3">
        <f>IF(C578="","",ROW()-1)</f>
        <v/>
      </c>
      <c r="B578" s="4" t="n"/>
      <c r="C578" s="4" t="n"/>
      <c r="D578" s="5" t="n"/>
      <c r="E578" s="5" t="n"/>
      <c r="F578" s="5" t="n"/>
      <c r="G578" s="5" t="n"/>
      <c r="H578" s="5" t="n"/>
      <c r="I578" s="5" t="n"/>
      <c r="J578" s="5" t="n"/>
      <c r="K578" s="6" t="n"/>
      <c r="L578" s="6" t="n"/>
      <c r="M578" s="6" t="n"/>
      <c r="N578" s="5" t="n"/>
      <c r="O578" s="21" t="n"/>
      <c r="P578" s="5" t="n"/>
      <c r="Q578" s="5" t="n"/>
      <c r="R578" s="6" t="n"/>
      <c r="S578" s="4" t="n"/>
      <c r="T578" s="4" t="n"/>
      <c r="U578" s="3">
        <f>IF(C578="","",IF(T578="",TODAY()-C578,T578-C578))</f>
        <v/>
      </c>
      <c r="V578" s="5" t="n"/>
      <c r="W578" s="6" t="n"/>
      <c r="X578" s="3">
        <f>IF(P578="","",IFERROR(VLOOKUP(P578,Parâmetros!$J$2:$K$5,2,FALSE),""))</f>
        <v/>
      </c>
      <c r="Y578" s="4">
        <f>IF(OR(C578="",X578=""),"",C578+X578)</f>
        <v/>
      </c>
      <c r="Z578" s="5">
        <f>IF(C578="","",IF(Q578="Concluído","Concluído",IF(Y578&lt;TODAY(),"Vencido",IF(Y578-TODAY()&lt;=2,"A vencer","No prazo"))))</f>
        <v/>
      </c>
      <c r="AA578" s="3">
        <f>IF(OR(Y578="",Q578="Concluído"),"",Y578-TODAY())</f>
        <v/>
      </c>
      <c r="AB578" s="5" t="n"/>
      <c r="AC578" s="5" t="n"/>
      <c r="AD578" s="4" t="n"/>
    </row>
    <row r="579">
      <c r="A579" s="3">
        <f>IF(C579="","",ROW()-1)</f>
        <v/>
      </c>
      <c r="B579" s="4" t="n"/>
      <c r="C579" s="4" t="n"/>
      <c r="D579" s="5" t="n"/>
      <c r="E579" s="5" t="n"/>
      <c r="F579" s="5" t="n"/>
      <c r="G579" s="5" t="n"/>
      <c r="H579" s="5" t="n"/>
      <c r="I579" s="5" t="n"/>
      <c r="J579" s="5" t="n"/>
      <c r="K579" s="6" t="n"/>
      <c r="L579" s="6" t="n"/>
      <c r="M579" s="6" t="n"/>
      <c r="N579" s="5" t="n"/>
      <c r="O579" s="21" t="n"/>
      <c r="P579" s="5" t="n"/>
      <c r="Q579" s="5" t="n"/>
      <c r="R579" s="6" t="n"/>
      <c r="S579" s="4" t="n"/>
      <c r="T579" s="4" t="n"/>
      <c r="U579" s="3">
        <f>IF(C579="","",IF(T579="",TODAY()-C579,T579-C579))</f>
        <v/>
      </c>
      <c r="V579" s="5" t="n"/>
      <c r="W579" s="6" t="n"/>
      <c r="X579" s="3">
        <f>IF(P579="","",IFERROR(VLOOKUP(P579,Parâmetros!$J$2:$K$5,2,FALSE),""))</f>
        <v/>
      </c>
      <c r="Y579" s="4">
        <f>IF(OR(C579="",X579=""),"",C579+X579)</f>
        <v/>
      </c>
      <c r="Z579" s="5">
        <f>IF(C579="","",IF(Q579="Concluído","Concluído",IF(Y579&lt;TODAY(),"Vencido",IF(Y579-TODAY()&lt;=2,"A vencer","No prazo"))))</f>
        <v/>
      </c>
      <c r="AA579" s="3">
        <f>IF(OR(Y579="",Q579="Concluído"),"",Y579-TODAY())</f>
        <v/>
      </c>
      <c r="AB579" s="5" t="n"/>
      <c r="AC579" s="5" t="n"/>
      <c r="AD579" s="4" t="n"/>
    </row>
    <row r="580">
      <c r="A580" s="3">
        <f>IF(C580="","",ROW()-1)</f>
        <v/>
      </c>
      <c r="B580" s="4" t="n"/>
      <c r="C580" s="4" t="n"/>
      <c r="D580" s="5" t="n"/>
      <c r="E580" s="5" t="n"/>
      <c r="F580" s="5" t="n"/>
      <c r="G580" s="5" t="n"/>
      <c r="H580" s="5" t="n"/>
      <c r="I580" s="5" t="n"/>
      <c r="J580" s="5" t="n"/>
      <c r="K580" s="6" t="n"/>
      <c r="L580" s="6" t="n"/>
      <c r="M580" s="6" t="n"/>
      <c r="N580" s="5" t="n"/>
      <c r="O580" s="21" t="n"/>
      <c r="P580" s="5" t="n"/>
      <c r="Q580" s="5" t="n"/>
      <c r="R580" s="6" t="n"/>
      <c r="S580" s="4" t="n"/>
      <c r="T580" s="4" t="n"/>
      <c r="U580" s="3">
        <f>IF(C580="","",IF(T580="",TODAY()-C580,T580-C580))</f>
        <v/>
      </c>
      <c r="V580" s="5" t="n"/>
      <c r="W580" s="6" t="n"/>
      <c r="X580" s="3">
        <f>IF(P580="","",IFERROR(VLOOKUP(P580,Parâmetros!$J$2:$K$5,2,FALSE),""))</f>
        <v/>
      </c>
      <c r="Y580" s="4">
        <f>IF(OR(C580="",X580=""),"",C580+X580)</f>
        <v/>
      </c>
      <c r="Z580" s="5">
        <f>IF(C580="","",IF(Q580="Concluído","Concluído",IF(Y580&lt;TODAY(),"Vencido",IF(Y580-TODAY()&lt;=2,"A vencer","No prazo"))))</f>
        <v/>
      </c>
      <c r="AA580" s="3">
        <f>IF(OR(Y580="",Q580="Concluído"),"",Y580-TODAY())</f>
        <v/>
      </c>
      <c r="AB580" s="5" t="n"/>
      <c r="AC580" s="5" t="n"/>
      <c r="AD580" s="4" t="n"/>
    </row>
    <row r="581">
      <c r="A581" s="3">
        <f>IF(C581="","",ROW()-1)</f>
        <v/>
      </c>
      <c r="B581" s="4" t="n"/>
      <c r="C581" s="4" t="n"/>
      <c r="D581" s="5" t="n"/>
      <c r="E581" s="5" t="n"/>
      <c r="F581" s="5" t="n"/>
      <c r="G581" s="5" t="n"/>
      <c r="H581" s="5" t="n"/>
      <c r="I581" s="5" t="n"/>
      <c r="J581" s="5" t="n"/>
      <c r="K581" s="6" t="n"/>
      <c r="L581" s="6" t="n"/>
      <c r="M581" s="6" t="n"/>
      <c r="N581" s="5" t="n"/>
      <c r="O581" s="21" t="n"/>
      <c r="P581" s="5" t="n"/>
      <c r="Q581" s="5" t="n"/>
      <c r="R581" s="6" t="n"/>
      <c r="S581" s="4" t="n"/>
      <c r="T581" s="4" t="n"/>
      <c r="U581" s="3">
        <f>IF(C581="","",IF(T581="",TODAY()-C581,T581-C581))</f>
        <v/>
      </c>
      <c r="V581" s="5" t="n"/>
      <c r="W581" s="6" t="n"/>
      <c r="X581" s="3">
        <f>IF(P581="","",IFERROR(VLOOKUP(P581,Parâmetros!$J$2:$K$5,2,FALSE),""))</f>
        <v/>
      </c>
      <c r="Y581" s="4">
        <f>IF(OR(C581="",X581=""),"",C581+X581)</f>
        <v/>
      </c>
      <c r="Z581" s="5">
        <f>IF(C581="","",IF(Q581="Concluído","Concluído",IF(Y581&lt;TODAY(),"Vencido",IF(Y581-TODAY()&lt;=2,"A vencer","No prazo"))))</f>
        <v/>
      </c>
      <c r="AA581" s="3">
        <f>IF(OR(Y581="",Q581="Concluído"),"",Y581-TODAY())</f>
        <v/>
      </c>
      <c r="AB581" s="5" t="n"/>
      <c r="AC581" s="5" t="n"/>
      <c r="AD581" s="4" t="n"/>
    </row>
    <row r="582">
      <c r="A582" s="3">
        <f>IF(C582="","",ROW()-1)</f>
        <v/>
      </c>
      <c r="B582" s="4" t="n"/>
      <c r="C582" s="4" t="n"/>
      <c r="D582" s="5" t="n"/>
      <c r="E582" s="5" t="n"/>
      <c r="F582" s="5" t="n"/>
      <c r="G582" s="5" t="n"/>
      <c r="H582" s="5" t="n"/>
      <c r="I582" s="5" t="n"/>
      <c r="J582" s="5" t="n"/>
      <c r="K582" s="6" t="n"/>
      <c r="L582" s="6" t="n"/>
      <c r="M582" s="6" t="n"/>
      <c r="N582" s="5" t="n"/>
      <c r="O582" s="21" t="n"/>
      <c r="P582" s="5" t="n"/>
      <c r="Q582" s="5" t="n"/>
      <c r="R582" s="6" t="n"/>
      <c r="S582" s="4" t="n"/>
      <c r="T582" s="4" t="n"/>
      <c r="U582" s="3">
        <f>IF(C582="","",IF(T582="",TODAY()-C582,T582-C582))</f>
        <v/>
      </c>
      <c r="V582" s="5" t="n"/>
      <c r="W582" s="6" t="n"/>
      <c r="X582" s="3">
        <f>IF(P582="","",IFERROR(VLOOKUP(P582,Parâmetros!$J$2:$K$5,2,FALSE),""))</f>
        <v/>
      </c>
      <c r="Y582" s="4">
        <f>IF(OR(C582="",X582=""),"",C582+X582)</f>
        <v/>
      </c>
      <c r="Z582" s="5">
        <f>IF(C582="","",IF(Q582="Concluído","Concluído",IF(Y582&lt;TODAY(),"Vencido",IF(Y582-TODAY()&lt;=2,"A vencer","No prazo"))))</f>
        <v/>
      </c>
      <c r="AA582" s="3">
        <f>IF(OR(Y582="",Q582="Concluído"),"",Y582-TODAY())</f>
        <v/>
      </c>
      <c r="AB582" s="5" t="n"/>
      <c r="AC582" s="5" t="n"/>
      <c r="AD582" s="4" t="n"/>
    </row>
    <row r="583">
      <c r="A583" s="3">
        <f>IF(C583="","",ROW()-1)</f>
        <v/>
      </c>
      <c r="B583" s="4" t="n"/>
      <c r="C583" s="4" t="n"/>
      <c r="D583" s="5" t="n"/>
      <c r="E583" s="5" t="n"/>
      <c r="F583" s="5" t="n"/>
      <c r="G583" s="5" t="n"/>
      <c r="H583" s="5" t="n"/>
      <c r="I583" s="5" t="n"/>
      <c r="J583" s="5" t="n"/>
      <c r="K583" s="6" t="n"/>
      <c r="L583" s="6" t="n"/>
      <c r="M583" s="6" t="n"/>
      <c r="N583" s="5" t="n"/>
      <c r="O583" s="21" t="n"/>
      <c r="P583" s="5" t="n"/>
      <c r="Q583" s="5" t="n"/>
      <c r="R583" s="6" t="n"/>
      <c r="S583" s="4" t="n"/>
      <c r="T583" s="4" t="n"/>
      <c r="U583" s="3">
        <f>IF(C583="","",IF(T583="",TODAY()-C583,T583-C583))</f>
        <v/>
      </c>
      <c r="V583" s="5" t="n"/>
      <c r="W583" s="6" t="n"/>
      <c r="X583" s="3">
        <f>IF(P583="","",IFERROR(VLOOKUP(P583,Parâmetros!$J$2:$K$5,2,FALSE),""))</f>
        <v/>
      </c>
      <c r="Y583" s="4">
        <f>IF(OR(C583="",X583=""),"",C583+X583)</f>
        <v/>
      </c>
      <c r="Z583" s="5">
        <f>IF(C583="","",IF(Q583="Concluído","Concluído",IF(Y583&lt;TODAY(),"Vencido",IF(Y583-TODAY()&lt;=2,"A vencer","No prazo"))))</f>
        <v/>
      </c>
      <c r="AA583" s="3">
        <f>IF(OR(Y583="",Q583="Concluído"),"",Y583-TODAY())</f>
        <v/>
      </c>
      <c r="AB583" s="5" t="n"/>
      <c r="AC583" s="5" t="n"/>
      <c r="AD583" s="4" t="n"/>
    </row>
    <row r="584">
      <c r="A584" s="3">
        <f>IF(C584="","",ROW()-1)</f>
        <v/>
      </c>
      <c r="B584" s="4" t="n"/>
      <c r="C584" s="4" t="n"/>
      <c r="D584" s="5" t="n"/>
      <c r="E584" s="5" t="n"/>
      <c r="F584" s="5" t="n"/>
      <c r="G584" s="5" t="n"/>
      <c r="H584" s="5" t="n"/>
      <c r="I584" s="5" t="n"/>
      <c r="J584" s="5" t="n"/>
      <c r="K584" s="6" t="n"/>
      <c r="L584" s="6" t="n"/>
      <c r="M584" s="6" t="n"/>
      <c r="N584" s="5" t="n"/>
      <c r="O584" s="21" t="n"/>
      <c r="P584" s="5" t="n"/>
      <c r="Q584" s="5" t="n"/>
      <c r="R584" s="6" t="n"/>
      <c r="S584" s="4" t="n"/>
      <c r="T584" s="4" t="n"/>
      <c r="U584" s="3">
        <f>IF(C584="","",IF(T584="",TODAY()-C584,T584-C584))</f>
        <v/>
      </c>
      <c r="V584" s="5" t="n"/>
      <c r="W584" s="6" t="n"/>
      <c r="X584" s="3">
        <f>IF(P584="","",IFERROR(VLOOKUP(P584,Parâmetros!$J$2:$K$5,2,FALSE),""))</f>
        <v/>
      </c>
      <c r="Y584" s="4">
        <f>IF(OR(C584="",X584=""),"",C584+X584)</f>
        <v/>
      </c>
      <c r="Z584" s="5">
        <f>IF(C584="","",IF(Q584="Concluído","Concluído",IF(Y584&lt;TODAY(),"Vencido",IF(Y584-TODAY()&lt;=2,"A vencer","No prazo"))))</f>
        <v/>
      </c>
      <c r="AA584" s="3">
        <f>IF(OR(Y584="",Q584="Concluído"),"",Y584-TODAY())</f>
        <v/>
      </c>
      <c r="AB584" s="5" t="n"/>
      <c r="AC584" s="5" t="n"/>
      <c r="AD584" s="4" t="n"/>
    </row>
    <row r="585">
      <c r="A585" s="3">
        <f>IF(C585="","",ROW()-1)</f>
        <v/>
      </c>
      <c r="B585" s="4" t="n"/>
      <c r="C585" s="4" t="n"/>
      <c r="D585" s="5" t="n"/>
      <c r="E585" s="5" t="n"/>
      <c r="F585" s="5" t="n"/>
      <c r="G585" s="5" t="n"/>
      <c r="H585" s="5" t="n"/>
      <c r="I585" s="5" t="n"/>
      <c r="J585" s="5" t="n"/>
      <c r="K585" s="6" t="n"/>
      <c r="L585" s="6" t="n"/>
      <c r="M585" s="6" t="n"/>
      <c r="N585" s="5" t="n"/>
      <c r="O585" s="21" t="n"/>
      <c r="P585" s="5" t="n"/>
      <c r="Q585" s="5" t="n"/>
      <c r="R585" s="6" t="n"/>
      <c r="S585" s="4" t="n"/>
      <c r="T585" s="4" t="n"/>
      <c r="U585" s="3">
        <f>IF(C585="","",IF(T585="",TODAY()-C585,T585-C585))</f>
        <v/>
      </c>
      <c r="V585" s="5" t="n"/>
      <c r="W585" s="6" t="n"/>
      <c r="X585" s="3">
        <f>IF(P585="","",IFERROR(VLOOKUP(P585,Parâmetros!$J$2:$K$5,2,FALSE),""))</f>
        <v/>
      </c>
      <c r="Y585" s="4">
        <f>IF(OR(C585="",X585=""),"",C585+X585)</f>
        <v/>
      </c>
      <c r="Z585" s="5">
        <f>IF(C585="","",IF(Q585="Concluído","Concluído",IF(Y585&lt;TODAY(),"Vencido",IF(Y585-TODAY()&lt;=2,"A vencer","No prazo"))))</f>
        <v/>
      </c>
      <c r="AA585" s="3">
        <f>IF(OR(Y585="",Q585="Concluído"),"",Y585-TODAY())</f>
        <v/>
      </c>
      <c r="AB585" s="5" t="n"/>
      <c r="AC585" s="5" t="n"/>
      <c r="AD585" s="4" t="n"/>
    </row>
    <row r="586">
      <c r="A586" s="3">
        <f>IF(C586="","",ROW()-1)</f>
        <v/>
      </c>
      <c r="B586" s="4" t="n"/>
      <c r="C586" s="4" t="n"/>
      <c r="D586" s="5" t="n"/>
      <c r="E586" s="5" t="n"/>
      <c r="F586" s="5" t="n"/>
      <c r="G586" s="5" t="n"/>
      <c r="H586" s="5" t="n"/>
      <c r="I586" s="5" t="n"/>
      <c r="J586" s="5" t="n"/>
      <c r="K586" s="6" t="n"/>
      <c r="L586" s="6" t="n"/>
      <c r="M586" s="6" t="n"/>
      <c r="N586" s="5" t="n"/>
      <c r="O586" s="21" t="n"/>
      <c r="P586" s="5" t="n"/>
      <c r="Q586" s="5" t="n"/>
      <c r="R586" s="6" t="n"/>
      <c r="S586" s="4" t="n"/>
      <c r="T586" s="4" t="n"/>
      <c r="U586" s="3">
        <f>IF(C586="","",IF(T586="",TODAY()-C586,T586-C586))</f>
        <v/>
      </c>
      <c r="V586" s="5" t="n"/>
      <c r="W586" s="6" t="n"/>
      <c r="X586" s="3">
        <f>IF(P586="","",IFERROR(VLOOKUP(P586,Parâmetros!$J$2:$K$5,2,FALSE),""))</f>
        <v/>
      </c>
      <c r="Y586" s="4">
        <f>IF(OR(C586="",X586=""),"",C586+X586)</f>
        <v/>
      </c>
      <c r="Z586" s="5">
        <f>IF(C586="","",IF(Q586="Concluído","Concluído",IF(Y586&lt;TODAY(),"Vencido",IF(Y586-TODAY()&lt;=2,"A vencer","No prazo"))))</f>
        <v/>
      </c>
      <c r="AA586" s="3">
        <f>IF(OR(Y586="",Q586="Concluído"),"",Y586-TODAY())</f>
        <v/>
      </c>
      <c r="AB586" s="5" t="n"/>
      <c r="AC586" s="5" t="n"/>
      <c r="AD586" s="4" t="n"/>
    </row>
    <row r="587">
      <c r="A587" s="3">
        <f>IF(C587="","",ROW()-1)</f>
        <v/>
      </c>
      <c r="B587" s="4" t="n"/>
      <c r="C587" s="4" t="n"/>
      <c r="D587" s="5" t="n"/>
      <c r="E587" s="5" t="n"/>
      <c r="F587" s="5" t="n"/>
      <c r="G587" s="5" t="n"/>
      <c r="H587" s="5" t="n"/>
      <c r="I587" s="5" t="n"/>
      <c r="J587" s="5" t="n"/>
      <c r="K587" s="6" t="n"/>
      <c r="L587" s="6" t="n"/>
      <c r="M587" s="6" t="n"/>
      <c r="N587" s="5" t="n"/>
      <c r="O587" s="21" t="n"/>
      <c r="P587" s="5" t="n"/>
      <c r="Q587" s="5" t="n"/>
      <c r="R587" s="6" t="n"/>
      <c r="S587" s="4" t="n"/>
      <c r="T587" s="4" t="n"/>
      <c r="U587" s="3">
        <f>IF(C587="","",IF(T587="",TODAY()-C587,T587-C587))</f>
        <v/>
      </c>
      <c r="V587" s="5" t="n"/>
      <c r="W587" s="6" t="n"/>
      <c r="X587" s="3">
        <f>IF(P587="","",IFERROR(VLOOKUP(P587,Parâmetros!$J$2:$K$5,2,FALSE),""))</f>
        <v/>
      </c>
      <c r="Y587" s="4">
        <f>IF(OR(C587="",X587=""),"",C587+X587)</f>
        <v/>
      </c>
      <c r="Z587" s="5">
        <f>IF(C587="","",IF(Q587="Concluído","Concluído",IF(Y587&lt;TODAY(),"Vencido",IF(Y587-TODAY()&lt;=2,"A vencer","No prazo"))))</f>
        <v/>
      </c>
      <c r="AA587" s="3">
        <f>IF(OR(Y587="",Q587="Concluído"),"",Y587-TODAY())</f>
        <v/>
      </c>
      <c r="AB587" s="5" t="n"/>
      <c r="AC587" s="5" t="n"/>
      <c r="AD587" s="4" t="n"/>
    </row>
    <row r="588">
      <c r="A588" s="3">
        <f>IF(C588="","",ROW()-1)</f>
        <v/>
      </c>
      <c r="B588" s="4" t="n"/>
      <c r="C588" s="4" t="n"/>
      <c r="D588" s="5" t="n"/>
      <c r="E588" s="5" t="n"/>
      <c r="F588" s="5" t="n"/>
      <c r="G588" s="5" t="n"/>
      <c r="H588" s="5" t="n"/>
      <c r="I588" s="5" t="n"/>
      <c r="J588" s="5" t="n"/>
      <c r="K588" s="6" t="n"/>
      <c r="L588" s="6" t="n"/>
      <c r="M588" s="6" t="n"/>
      <c r="N588" s="5" t="n"/>
      <c r="O588" s="21" t="n"/>
      <c r="P588" s="5" t="n"/>
      <c r="Q588" s="5" t="n"/>
      <c r="R588" s="6" t="n"/>
      <c r="S588" s="4" t="n"/>
      <c r="T588" s="4" t="n"/>
      <c r="U588" s="3">
        <f>IF(C588="","",IF(T588="",TODAY()-C588,T588-C588))</f>
        <v/>
      </c>
      <c r="V588" s="5" t="n"/>
      <c r="W588" s="6" t="n"/>
      <c r="X588" s="3">
        <f>IF(P588="","",IFERROR(VLOOKUP(P588,Parâmetros!$J$2:$K$5,2,FALSE),""))</f>
        <v/>
      </c>
      <c r="Y588" s="4">
        <f>IF(OR(C588="",X588=""),"",C588+X588)</f>
        <v/>
      </c>
      <c r="Z588" s="5">
        <f>IF(C588="","",IF(Q588="Concluído","Concluído",IF(Y588&lt;TODAY(),"Vencido",IF(Y588-TODAY()&lt;=2,"A vencer","No prazo"))))</f>
        <v/>
      </c>
      <c r="AA588" s="3">
        <f>IF(OR(Y588="",Q588="Concluído"),"",Y588-TODAY())</f>
        <v/>
      </c>
      <c r="AB588" s="5" t="n"/>
      <c r="AC588" s="5" t="n"/>
      <c r="AD588" s="4" t="n"/>
    </row>
    <row r="589">
      <c r="A589" s="3">
        <f>IF(C589="","",ROW()-1)</f>
        <v/>
      </c>
      <c r="B589" s="4" t="n"/>
      <c r="C589" s="4" t="n"/>
      <c r="D589" s="5" t="n"/>
      <c r="E589" s="5" t="n"/>
      <c r="F589" s="5" t="n"/>
      <c r="G589" s="5" t="n"/>
      <c r="H589" s="5" t="n"/>
      <c r="I589" s="5" t="n"/>
      <c r="J589" s="5" t="n"/>
      <c r="K589" s="6" t="n"/>
      <c r="L589" s="6" t="n"/>
      <c r="M589" s="6" t="n"/>
      <c r="N589" s="5" t="n"/>
      <c r="O589" s="21" t="n"/>
      <c r="P589" s="5" t="n"/>
      <c r="Q589" s="5" t="n"/>
      <c r="R589" s="6" t="n"/>
      <c r="S589" s="4" t="n"/>
      <c r="T589" s="4" t="n"/>
      <c r="U589" s="3">
        <f>IF(C589="","",IF(T589="",TODAY()-C589,T589-C589))</f>
        <v/>
      </c>
      <c r="V589" s="5" t="n"/>
      <c r="W589" s="6" t="n"/>
      <c r="X589" s="3">
        <f>IF(P589="","",IFERROR(VLOOKUP(P589,Parâmetros!$J$2:$K$5,2,FALSE),""))</f>
        <v/>
      </c>
      <c r="Y589" s="4">
        <f>IF(OR(C589="",X589=""),"",C589+X589)</f>
        <v/>
      </c>
      <c r="Z589" s="5">
        <f>IF(C589="","",IF(Q589="Concluído","Concluído",IF(Y589&lt;TODAY(),"Vencido",IF(Y589-TODAY()&lt;=2,"A vencer","No prazo"))))</f>
        <v/>
      </c>
      <c r="AA589" s="3">
        <f>IF(OR(Y589="",Q589="Concluído"),"",Y589-TODAY())</f>
        <v/>
      </c>
      <c r="AB589" s="5" t="n"/>
      <c r="AC589" s="5" t="n"/>
      <c r="AD589" s="4" t="n"/>
    </row>
    <row r="590">
      <c r="A590" s="3">
        <f>IF(C590="","",ROW()-1)</f>
        <v/>
      </c>
      <c r="B590" s="4" t="n"/>
      <c r="C590" s="4" t="n"/>
      <c r="D590" s="5" t="n"/>
      <c r="E590" s="5" t="n"/>
      <c r="F590" s="5" t="n"/>
      <c r="G590" s="5" t="n"/>
      <c r="H590" s="5" t="n"/>
      <c r="I590" s="5" t="n"/>
      <c r="J590" s="5" t="n"/>
      <c r="K590" s="6" t="n"/>
      <c r="L590" s="6" t="n"/>
      <c r="M590" s="6" t="n"/>
      <c r="N590" s="5" t="n"/>
      <c r="O590" s="21" t="n"/>
      <c r="P590" s="5" t="n"/>
      <c r="Q590" s="5" t="n"/>
      <c r="R590" s="6" t="n"/>
      <c r="S590" s="4" t="n"/>
      <c r="T590" s="4" t="n"/>
      <c r="U590" s="3">
        <f>IF(C590="","",IF(T590="",TODAY()-C590,T590-C590))</f>
        <v/>
      </c>
      <c r="V590" s="5" t="n"/>
      <c r="W590" s="6" t="n"/>
      <c r="X590" s="3">
        <f>IF(P590="","",IFERROR(VLOOKUP(P590,Parâmetros!$J$2:$K$5,2,FALSE),""))</f>
        <v/>
      </c>
      <c r="Y590" s="4">
        <f>IF(OR(C590="",X590=""),"",C590+X590)</f>
        <v/>
      </c>
      <c r="Z590" s="5">
        <f>IF(C590="","",IF(Q590="Concluído","Concluído",IF(Y590&lt;TODAY(),"Vencido",IF(Y590-TODAY()&lt;=2,"A vencer","No prazo"))))</f>
        <v/>
      </c>
      <c r="AA590" s="3">
        <f>IF(OR(Y590="",Q590="Concluído"),"",Y590-TODAY())</f>
        <v/>
      </c>
      <c r="AB590" s="5" t="n"/>
      <c r="AC590" s="5" t="n"/>
      <c r="AD590" s="4" t="n"/>
    </row>
    <row r="591">
      <c r="A591" s="3">
        <f>IF(C591="","",ROW()-1)</f>
        <v/>
      </c>
      <c r="B591" s="4" t="n"/>
      <c r="C591" s="4" t="n"/>
      <c r="D591" s="5" t="n"/>
      <c r="E591" s="5" t="n"/>
      <c r="F591" s="5" t="n"/>
      <c r="G591" s="5" t="n"/>
      <c r="H591" s="5" t="n"/>
      <c r="I591" s="5" t="n"/>
      <c r="J591" s="5" t="n"/>
      <c r="K591" s="6" t="n"/>
      <c r="L591" s="6" t="n"/>
      <c r="M591" s="6" t="n"/>
      <c r="N591" s="5" t="n"/>
      <c r="O591" s="21" t="n"/>
      <c r="P591" s="5" t="n"/>
      <c r="Q591" s="5" t="n"/>
      <c r="R591" s="6" t="n"/>
      <c r="S591" s="4" t="n"/>
      <c r="T591" s="4" t="n"/>
      <c r="U591" s="3">
        <f>IF(C591="","",IF(T591="",TODAY()-C591,T591-C591))</f>
        <v/>
      </c>
      <c r="V591" s="5" t="n"/>
      <c r="W591" s="6" t="n"/>
      <c r="X591" s="3">
        <f>IF(P591="","",IFERROR(VLOOKUP(P591,Parâmetros!$J$2:$K$5,2,FALSE),""))</f>
        <v/>
      </c>
      <c r="Y591" s="4">
        <f>IF(OR(C591="",X591=""),"",C591+X591)</f>
        <v/>
      </c>
      <c r="Z591" s="5">
        <f>IF(C591="","",IF(Q591="Concluído","Concluído",IF(Y591&lt;TODAY(),"Vencido",IF(Y591-TODAY()&lt;=2,"A vencer","No prazo"))))</f>
        <v/>
      </c>
      <c r="AA591" s="3">
        <f>IF(OR(Y591="",Q591="Concluído"),"",Y591-TODAY())</f>
        <v/>
      </c>
      <c r="AB591" s="5" t="n"/>
      <c r="AC591" s="5" t="n"/>
      <c r="AD591" s="4" t="n"/>
    </row>
    <row r="592">
      <c r="A592" s="3">
        <f>IF(C592="","",ROW()-1)</f>
        <v/>
      </c>
      <c r="B592" s="4" t="n"/>
      <c r="C592" s="4" t="n"/>
      <c r="D592" s="5" t="n"/>
      <c r="E592" s="5" t="n"/>
      <c r="F592" s="5" t="n"/>
      <c r="G592" s="5" t="n"/>
      <c r="H592" s="5" t="n"/>
      <c r="I592" s="5" t="n"/>
      <c r="J592" s="5" t="n"/>
      <c r="K592" s="6" t="n"/>
      <c r="L592" s="6" t="n"/>
      <c r="M592" s="6" t="n"/>
      <c r="N592" s="5" t="n"/>
      <c r="O592" s="21" t="n"/>
      <c r="P592" s="5" t="n"/>
      <c r="Q592" s="5" t="n"/>
      <c r="R592" s="6" t="n"/>
      <c r="S592" s="4" t="n"/>
      <c r="T592" s="4" t="n"/>
      <c r="U592" s="3">
        <f>IF(C592="","",IF(T592="",TODAY()-C592,T592-C592))</f>
        <v/>
      </c>
      <c r="V592" s="5" t="n"/>
      <c r="W592" s="6" t="n"/>
      <c r="X592" s="3">
        <f>IF(P592="","",IFERROR(VLOOKUP(P592,Parâmetros!$J$2:$K$5,2,FALSE),""))</f>
        <v/>
      </c>
      <c r="Y592" s="4">
        <f>IF(OR(C592="",X592=""),"",C592+X592)</f>
        <v/>
      </c>
      <c r="Z592" s="5">
        <f>IF(C592="","",IF(Q592="Concluído","Concluído",IF(Y592&lt;TODAY(),"Vencido",IF(Y592-TODAY()&lt;=2,"A vencer","No prazo"))))</f>
        <v/>
      </c>
      <c r="AA592" s="3">
        <f>IF(OR(Y592="",Q592="Concluído"),"",Y592-TODAY())</f>
        <v/>
      </c>
      <c r="AB592" s="5" t="n"/>
      <c r="AC592" s="5" t="n"/>
      <c r="AD592" s="4" t="n"/>
    </row>
    <row r="593">
      <c r="A593" s="3">
        <f>IF(C593="","",ROW()-1)</f>
        <v/>
      </c>
      <c r="B593" s="4" t="n"/>
      <c r="C593" s="4" t="n"/>
      <c r="D593" s="5" t="n"/>
      <c r="E593" s="5" t="n"/>
      <c r="F593" s="5" t="n"/>
      <c r="G593" s="5" t="n"/>
      <c r="H593" s="5" t="n"/>
      <c r="I593" s="5" t="n"/>
      <c r="J593" s="5" t="n"/>
      <c r="K593" s="6" t="n"/>
      <c r="L593" s="6" t="n"/>
      <c r="M593" s="6" t="n"/>
      <c r="N593" s="5" t="n"/>
      <c r="O593" s="21" t="n"/>
      <c r="P593" s="5" t="n"/>
      <c r="Q593" s="5" t="n"/>
      <c r="R593" s="6" t="n"/>
      <c r="S593" s="4" t="n"/>
      <c r="T593" s="4" t="n"/>
      <c r="U593" s="3">
        <f>IF(C593="","",IF(T593="",TODAY()-C593,T593-C593))</f>
        <v/>
      </c>
      <c r="V593" s="5" t="n"/>
      <c r="W593" s="6" t="n"/>
      <c r="X593" s="3">
        <f>IF(P593="","",IFERROR(VLOOKUP(P593,Parâmetros!$J$2:$K$5,2,FALSE),""))</f>
        <v/>
      </c>
      <c r="Y593" s="4">
        <f>IF(OR(C593="",X593=""),"",C593+X593)</f>
        <v/>
      </c>
      <c r="Z593" s="5">
        <f>IF(C593="","",IF(Q593="Concluído","Concluído",IF(Y593&lt;TODAY(),"Vencido",IF(Y593-TODAY()&lt;=2,"A vencer","No prazo"))))</f>
        <v/>
      </c>
      <c r="AA593" s="3">
        <f>IF(OR(Y593="",Q593="Concluído"),"",Y593-TODAY())</f>
        <v/>
      </c>
      <c r="AB593" s="5" t="n"/>
      <c r="AC593" s="5" t="n"/>
      <c r="AD593" s="4" t="n"/>
    </row>
    <row r="594">
      <c r="A594" s="3">
        <f>IF(C594="","",ROW()-1)</f>
        <v/>
      </c>
      <c r="B594" s="4" t="n"/>
      <c r="C594" s="4" t="n"/>
      <c r="D594" s="5" t="n"/>
      <c r="E594" s="5" t="n"/>
      <c r="F594" s="5" t="n"/>
      <c r="G594" s="5" t="n"/>
      <c r="H594" s="5" t="n"/>
      <c r="I594" s="5" t="n"/>
      <c r="J594" s="5" t="n"/>
      <c r="K594" s="6" t="n"/>
      <c r="L594" s="6" t="n"/>
      <c r="M594" s="6" t="n"/>
      <c r="N594" s="5" t="n"/>
      <c r="O594" s="21" t="n"/>
      <c r="P594" s="5" t="n"/>
      <c r="Q594" s="5" t="n"/>
      <c r="R594" s="6" t="n"/>
      <c r="S594" s="4" t="n"/>
      <c r="T594" s="4" t="n"/>
      <c r="U594" s="3">
        <f>IF(C594="","",IF(T594="",TODAY()-C594,T594-C594))</f>
        <v/>
      </c>
      <c r="V594" s="5" t="n"/>
      <c r="W594" s="6" t="n"/>
      <c r="X594" s="3">
        <f>IF(P594="","",IFERROR(VLOOKUP(P594,Parâmetros!$J$2:$K$5,2,FALSE),""))</f>
        <v/>
      </c>
      <c r="Y594" s="4">
        <f>IF(OR(C594="",X594=""),"",C594+X594)</f>
        <v/>
      </c>
      <c r="Z594" s="5">
        <f>IF(C594="","",IF(Q594="Concluído","Concluído",IF(Y594&lt;TODAY(),"Vencido",IF(Y594-TODAY()&lt;=2,"A vencer","No prazo"))))</f>
        <v/>
      </c>
      <c r="AA594" s="3">
        <f>IF(OR(Y594="",Q594="Concluído"),"",Y594-TODAY())</f>
        <v/>
      </c>
      <c r="AB594" s="5" t="n"/>
      <c r="AC594" s="5" t="n"/>
      <c r="AD594" s="4" t="n"/>
    </row>
    <row r="595">
      <c r="A595" s="3">
        <f>IF(C595="","",ROW()-1)</f>
        <v/>
      </c>
      <c r="B595" s="4" t="n"/>
      <c r="C595" s="4" t="n"/>
      <c r="D595" s="5" t="n"/>
      <c r="E595" s="5" t="n"/>
      <c r="F595" s="5" t="n"/>
      <c r="G595" s="5" t="n"/>
      <c r="H595" s="5" t="n"/>
      <c r="I595" s="5" t="n"/>
      <c r="J595" s="5" t="n"/>
      <c r="K595" s="6" t="n"/>
      <c r="L595" s="6" t="n"/>
      <c r="M595" s="6" t="n"/>
      <c r="N595" s="5" t="n"/>
      <c r="O595" s="21" t="n"/>
      <c r="P595" s="5" t="n"/>
      <c r="Q595" s="5" t="n"/>
      <c r="R595" s="6" t="n"/>
      <c r="S595" s="4" t="n"/>
      <c r="T595" s="4" t="n"/>
      <c r="U595" s="3">
        <f>IF(C595="","",IF(T595="",TODAY()-C595,T595-C595))</f>
        <v/>
      </c>
      <c r="V595" s="5" t="n"/>
      <c r="W595" s="6" t="n"/>
      <c r="X595" s="3">
        <f>IF(P595="","",IFERROR(VLOOKUP(P595,Parâmetros!$J$2:$K$5,2,FALSE),""))</f>
        <v/>
      </c>
      <c r="Y595" s="4">
        <f>IF(OR(C595="",X595=""),"",C595+X595)</f>
        <v/>
      </c>
      <c r="Z595" s="5">
        <f>IF(C595="","",IF(Q595="Concluído","Concluído",IF(Y595&lt;TODAY(),"Vencido",IF(Y595-TODAY()&lt;=2,"A vencer","No prazo"))))</f>
        <v/>
      </c>
      <c r="AA595" s="3">
        <f>IF(OR(Y595="",Q595="Concluído"),"",Y595-TODAY())</f>
        <v/>
      </c>
      <c r="AB595" s="5" t="n"/>
      <c r="AC595" s="5" t="n"/>
      <c r="AD595" s="4" t="n"/>
    </row>
    <row r="596">
      <c r="A596" s="3">
        <f>IF(C596="","",ROW()-1)</f>
        <v/>
      </c>
      <c r="B596" s="4" t="n"/>
      <c r="C596" s="4" t="n"/>
      <c r="D596" s="5" t="n"/>
      <c r="E596" s="5" t="n"/>
      <c r="F596" s="5" t="n"/>
      <c r="G596" s="5" t="n"/>
      <c r="H596" s="5" t="n"/>
      <c r="I596" s="5" t="n"/>
      <c r="J596" s="5" t="n"/>
      <c r="K596" s="6" t="n"/>
      <c r="L596" s="6" t="n"/>
      <c r="M596" s="6" t="n"/>
      <c r="N596" s="5" t="n"/>
      <c r="O596" s="21" t="n"/>
      <c r="P596" s="5" t="n"/>
      <c r="Q596" s="5" t="n"/>
      <c r="R596" s="6" t="n"/>
      <c r="S596" s="4" t="n"/>
      <c r="T596" s="4" t="n"/>
      <c r="U596" s="3">
        <f>IF(C596="","",IF(T596="",TODAY()-C596,T596-C596))</f>
        <v/>
      </c>
      <c r="V596" s="5" t="n"/>
      <c r="W596" s="6" t="n"/>
      <c r="X596" s="3">
        <f>IF(P596="","",IFERROR(VLOOKUP(P596,Parâmetros!$J$2:$K$5,2,FALSE),""))</f>
        <v/>
      </c>
      <c r="Y596" s="4">
        <f>IF(OR(C596="",X596=""),"",C596+X596)</f>
        <v/>
      </c>
      <c r="Z596" s="5">
        <f>IF(C596="","",IF(Q596="Concluído","Concluído",IF(Y596&lt;TODAY(),"Vencido",IF(Y596-TODAY()&lt;=2,"A vencer","No prazo"))))</f>
        <v/>
      </c>
      <c r="AA596" s="3">
        <f>IF(OR(Y596="",Q596="Concluído"),"",Y596-TODAY())</f>
        <v/>
      </c>
      <c r="AB596" s="5" t="n"/>
      <c r="AC596" s="5" t="n"/>
      <c r="AD596" s="4" t="n"/>
    </row>
    <row r="597">
      <c r="A597" s="3">
        <f>IF(C597="","",ROW()-1)</f>
        <v/>
      </c>
      <c r="B597" s="4" t="n"/>
      <c r="C597" s="4" t="n"/>
      <c r="D597" s="5" t="n"/>
      <c r="E597" s="5" t="n"/>
      <c r="F597" s="5" t="n"/>
      <c r="G597" s="5" t="n"/>
      <c r="H597" s="5" t="n"/>
      <c r="I597" s="5" t="n"/>
      <c r="J597" s="5" t="n"/>
      <c r="K597" s="6" t="n"/>
      <c r="L597" s="6" t="n"/>
      <c r="M597" s="6" t="n"/>
      <c r="N597" s="5" t="n"/>
      <c r="O597" s="21" t="n"/>
      <c r="P597" s="5" t="n"/>
      <c r="Q597" s="5" t="n"/>
      <c r="R597" s="6" t="n"/>
      <c r="S597" s="4" t="n"/>
      <c r="T597" s="4" t="n"/>
      <c r="U597" s="3">
        <f>IF(C597="","",IF(T597="",TODAY()-C597,T597-C597))</f>
        <v/>
      </c>
      <c r="V597" s="5" t="n"/>
      <c r="W597" s="6" t="n"/>
      <c r="X597" s="3">
        <f>IF(P597="","",IFERROR(VLOOKUP(P597,Parâmetros!$J$2:$K$5,2,FALSE),""))</f>
        <v/>
      </c>
      <c r="Y597" s="4">
        <f>IF(OR(C597="",X597=""),"",C597+X597)</f>
        <v/>
      </c>
      <c r="Z597" s="5">
        <f>IF(C597="","",IF(Q597="Concluído","Concluído",IF(Y597&lt;TODAY(),"Vencido",IF(Y597-TODAY()&lt;=2,"A vencer","No prazo"))))</f>
        <v/>
      </c>
      <c r="AA597" s="3">
        <f>IF(OR(Y597="",Q597="Concluído"),"",Y597-TODAY())</f>
        <v/>
      </c>
      <c r="AB597" s="5" t="n"/>
      <c r="AC597" s="5" t="n"/>
      <c r="AD597" s="4" t="n"/>
    </row>
    <row r="598">
      <c r="A598" s="3">
        <f>IF(C598="","",ROW()-1)</f>
        <v/>
      </c>
      <c r="B598" s="4" t="n"/>
      <c r="C598" s="4" t="n"/>
      <c r="D598" s="5" t="n"/>
      <c r="E598" s="5" t="n"/>
      <c r="F598" s="5" t="n"/>
      <c r="G598" s="5" t="n"/>
      <c r="H598" s="5" t="n"/>
      <c r="I598" s="5" t="n"/>
      <c r="J598" s="5" t="n"/>
      <c r="K598" s="6" t="n"/>
      <c r="L598" s="6" t="n"/>
      <c r="M598" s="6" t="n"/>
      <c r="N598" s="5" t="n"/>
      <c r="O598" s="21" t="n"/>
      <c r="P598" s="5" t="n"/>
      <c r="Q598" s="5" t="n"/>
      <c r="R598" s="6" t="n"/>
      <c r="S598" s="4" t="n"/>
      <c r="T598" s="4" t="n"/>
      <c r="U598" s="3">
        <f>IF(C598="","",IF(T598="",TODAY()-C598,T598-C598))</f>
        <v/>
      </c>
      <c r="V598" s="5" t="n"/>
      <c r="W598" s="6" t="n"/>
      <c r="X598" s="3">
        <f>IF(P598="","",IFERROR(VLOOKUP(P598,Parâmetros!$J$2:$K$5,2,FALSE),""))</f>
        <v/>
      </c>
      <c r="Y598" s="4">
        <f>IF(OR(C598="",X598=""),"",C598+X598)</f>
        <v/>
      </c>
      <c r="Z598" s="5">
        <f>IF(C598="","",IF(Q598="Concluído","Concluído",IF(Y598&lt;TODAY(),"Vencido",IF(Y598-TODAY()&lt;=2,"A vencer","No prazo"))))</f>
        <v/>
      </c>
      <c r="AA598" s="3">
        <f>IF(OR(Y598="",Q598="Concluído"),"",Y598-TODAY())</f>
        <v/>
      </c>
      <c r="AB598" s="5" t="n"/>
      <c r="AC598" s="5" t="n"/>
      <c r="AD598" s="4" t="n"/>
    </row>
    <row r="599">
      <c r="A599" s="3">
        <f>IF(C599="","",ROW()-1)</f>
        <v/>
      </c>
      <c r="B599" s="4" t="n"/>
      <c r="C599" s="4" t="n"/>
      <c r="D599" s="5" t="n"/>
      <c r="E599" s="5" t="n"/>
      <c r="F599" s="5" t="n"/>
      <c r="G599" s="5" t="n"/>
      <c r="H599" s="5" t="n"/>
      <c r="I599" s="5" t="n"/>
      <c r="J599" s="5" t="n"/>
      <c r="K599" s="6" t="n"/>
      <c r="L599" s="6" t="n"/>
      <c r="M599" s="6" t="n"/>
      <c r="N599" s="5" t="n"/>
      <c r="O599" s="21" t="n"/>
      <c r="P599" s="5" t="n"/>
      <c r="Q599" s="5" t="n"/>
      <c r="R599" s="6" t="n"/>
      <c r="S599" s="4" t="n"/>
      <c r="T599" s="4" t="n"/>
      <c r="U599" s="3">
        <f>IF(C599="","",IF(T599="",TODAY()-C599,T599-C599))</f>
        <v/>
      </c>
      <c r="V599" s="5" t="n"/>
      <c r="W599" s="6" t="n"/>
      <c r="X599" s="3">
        <f>IF(P599="","",IFERROR(VLOOKUP(P599,Parâmetros!$J$2:$K$5,2,FALSE),""))</f>
        <v/>
      </c>
      <c r="Y599" s="4">
        <f>IF(OR(C599="",X599=""),"",C599+X599)</f>
        <v/>
      </c>
      <c r="Z599" s="5">
        <f>IF(C599="","",IF(Q599="Concluído","Concluído",IF(Y599&lt;TODAY(),"Vencido",IF(Y599-TODAY()&lt;=2,"A vencer","No prazo"))))</f>
        <v/>
      </c>
      <c r="AA599" s="3">
        <f>IF(OR(Y599="",Q599="Concluído"),"",Y599-TODAY())</f>
        <v/>
      </c>
      <c r="AB599" s="5" t="n"/>
      <c r="AC599" s="5" t="n"/>
      <c r="AD599" s="4" t="n"/>
    </row>
    <row r="600">
      <c r="A600" s="3">
        <f>IF(C600="","",ROW()-1)</f>
        <v/>
      </c>
      <c r="B600" s="4" t="n"/>
      <c r="C600" s="4" t="n"/>
      <c r="D600" s="5" t="n"/>
      <c r="E600" s="5" t="n"/>
      <c r="F600" s="5" t="n"/>
      <c r="G600" s="5" t="n"/>
      <c r="H600" s="5" t="n"/>
      <c r="I600" s="5" t="n"/>
      <c r="J600" s="5" t="n"/>
      <c r="K600" s="6" t="n"/>
      <c r="L600" s="6" t="n"/>
      <c r="M600" s="6" t="n"/>
      <c r="N600" s="5" t="n"/>
      <c r="O600" s="21" t="n"/>
      <c r="P600" s="5" t="n"/>
      <c r="Q600" s="5" t="n"/>
      <c r="R600" s="6" t="n"/>
      <c r="S600" s="4" t="n"/>
      <c r="T600" s="4" t="n"/>
      <c r="U600" s="3">
        <f>IF(C600="","",IF(T600="",TODAY()-C600,T600-C600))</f>
        <v/>
      </c>
      <c r="V600" s="5" t="n"/>
      <c r="W600" s="6" t="n"/>
      <c r="X600" s="3">
        <f>IF(P600="","",IFERROR(VLOOKUP(P600,Parâmetros!$J$2:$K$5,2,FALSE),""))</f>
        <v/>
      </c>
      <c r="Y600" s="4">
        <f>IF(OR(C600="",X600=""),"",C600+X600)</f>
        <v/>
      </c>
      <c r="Z600" s="5">
        <f>IF(C600="","",IF(Q600="Concluído","Concluído",IF(Y600&lt;TODAY(),"Vencido",IF(Y600-TODAY()&lt;=2,"A vencer","No prazo"))))</f>
        <v/>
      </c>
      <c r="AA600" s="3">
        <f>IF(OR(Y600="",Q600="Concluído"),"",Y600-TODAY())</f>
        <v/>
      </c>
      <c r="AB600" s="5" t="n"/>
      <c r="AC600" s="5" t="n"/>
      <c r="AD600" s="4" t="n"/>
    </row>
    <row r="601">
      <c r="A601" s="3">
        <f>IF(C601="","",ROW()-1)</f>
        <v/>
      </c>
      <c r="B601" s="4" t="n"/>
      <c r="C601" s="4" t="n"/>
      <c r="D601" s="5" t="n"/>
      <c r="E601" s="5" t="n"/>
      <c r="F601" s="5" t="n"/>
      <c r="G601" s="5" t="n"/>
      <c r="H601" s="5" t="n"/>
      <c r="I601" s="5" t="n"/>
      <c r="J601" s="5" t="n"/>
      <c r="K601" s="6" t="n"/>
      <c r="L601" s="6" t="n"/>
      <c r="M601" s="6" t="n"/>
      <c r="N601" s="5" t="n"/>
      <c r="O601" s="21" t="n"/>
      <c r="P601" s="5" t="n"/>
      <c r="Q601" s="5" t="n"/>
      <c r="R601" s="6" t="n"/>
      <c r="S601" s="4" t="n"/>
      <c r="T601" s="4" t="n"/>
      <c r="U601" s="3">
        <f>IF(C601="","",IF(T601="",TODAY()-C601,T601-C601))</f>
        <v/>
      </c>
      <c r="V601" s="5" t="n"/>
      <c r="W601" s="6" t="n"/>
      <c r="X601" s="3">
        <f>IF(P601="","",IFERROR(VLOOKUP(P601,Parâmetros!$J$2:$K$5,2,FALSE),""))</f>
        <v/>
      </c>
      <c r="Y601" s="4">
        <f>IF(OR(C601="",X601=""),"",C601+X601)</f>
        <v/>
      </c>
      <c r="Z601" s="5">
        <f>IF(C601="","",IF(Q601="Concluído","Concluído",IF(Y601&lt;TODAY(),"Vencido",IF(Y601-TODAY()&lt;=2,"A vencer","No prazo"))))</f>
        <v/>
      </c>
      <c r="AA601" s="3">
        <f>IF(OR(Y601="",Q601="Concluído"),"",Y601-TODAY())</f>
        <v/>
      </c>
      <c r="AB601" s="5" t="n"/>
      <c r="AC601" s="5" t="n"/>
      <c r="AD601" s="4" t="n"/>
    </row>
    <row r="602">
      <c r="A602" s="3">
        <f>IF(C602="","",ROW()-1)</f>
        <v/>
      </c>
      <c r="B602" s="4" t="n"/>
      <c r="C602" s="4" t="n"/>
      <c r="D602" s="5" t="n"/>
      <c r="E602" s="5" t="n"/>
      <c r="F602" s="5" t="n"/>
      <c r="G602" s="5" t="n"/>
      <c r="H602" s="5" t="n"/>
      <c r="I602" s="5" t="n"/>
      <c r="J602" s="5" t="n"/>
      <c r="K602" s="6" t="n"/>
      <c r="L602" s="6" t="n"/>
      <c r="M602" s="6" t="n"/>
      <c r="N602" s="5" t="n"/>
      <c r="O602" s="21" t="n"/>
      <c r="P602" s="5" t="n"/>
      <c r="Q602" s="5" t="n"/>
      <c r="R602" s="6" t="n"/>
      <c r="S602" s="4" t="n"/>
      <c r="T602" s="4" t="n"/>
      <c r="U602" s="3">
        <f>IF(C602="","",IF(T602="",TODAY()-C602,T602-C602))</f>
        <v/>
      </c>
      <c r="V602" s="5" t="n"/>
      <c r="W602" s="6" t="n"/>
      <c r="X602" s="3">
        <f>IF(P602="","",IFERROR(VLOOKUP(P602,Parâmetros!$J$2:$K$5,2,FALSE),""))</f>
        <v/>
      </c>
      <c r="Y602" s="4">
        <f>IF(OR(C602="",X602=""),"",C602+X602)</f>
        <v/>
      </c>
      <c r="Z602" s="5">
        <f>IF(C602="","",IF(Q602="Concluído","Concluído",IF(Y602&lt;TODAY(),"Vencido",IF(Y602-TODAY()&lt;=2,"A vencer","No prazo"))))</f>
        <v/>
      </c>
      <c r="AA602" s="3">
        <f>IF(OR(Y602="",Q602="Concluído"),"",Y602-TODAY())</f>
        <v/>
      </c>
      <c r="AB602" s="5" t="n"/>
      <c r="AC602" s="5" t="n"/>
      <c r="AD602" s="4" t="n"/>
    </row>
    <row r="603">
      <c r="A603" s="3">
        <f>IF(C603="","",ROW()-1)</f>
        <v/>
      </c>
      <c r="B603" s="4" t="n"/>
      <c r="C603" s="4" t="n"/>
      <c r="D603" s="5" t="n"/>
      <c r="E603" s="5" t="n"/>
      <c r="F603" s="5" t="n"/>
      <c r="G603" s="5" t="n"/>
      <c r="H603" s="5" t="n"/>
      <c r="I603" s="5" t="n"/>
      <c r="J603" s="5" t="n"/>
      <c r="K603" s="6" t="n"/>
      <c r="L603" s="6" t="n"/>
      <c r="M603" s="6" t="n"/>
      <c r="N603" s="5" t="n"/>
      <c r="O603" s="21" t="n"/>
      <c r="P603" s="5" t="n"/>
      <c r="Q603" s="5" t="n"/>
      <c r="R603" s="6" t="n"/>
      <c r="S603" s="4" t="n"/>
      <c r="T603" s="4" t="n"/>
      <c r="U603" s="3">
        <f>IF(C603="","",IF(T603="",TODAY()-C603,T603-C603))</f>
        <v/>
      </c>
      <c r="V603" s="5" t="n"/>
      <c r="W603" s="6" t="n"/>
      <c r="X603" s="3">
        <f>IF(P603="","",IFERROR(VLOOKUP(P603,Parâmetros!$J$2:$K$5,2,FALSE),""))</f>
        <v/>
      </c>
      <c r="Y603" s="4">
        <f>IF(OR(C603="",X603=""),"",C603+X603)</f>
        <v/>
      </c>
      <c r="Z603" s="5">
        <f>IF(C603="","",IF(Q603="Concluído","Concluído",IF(Y603&lt;TODAY(),"Vencido",IF(Y603-TODAY()&lt;=2,"A vencer","No prazo"))))</f>
        <v/>
      </c>
      <c r="AA603" s="3">
        <f>IF(OR(Y603="",Q603="Concluído"),"",Y603-TODAY())</f>
        <v/>
      </c>
      <c r="AB603" s="5" t="n"/>
      <c r="AC603" s="5" t="n"/>
      <c r="AD603" s="4" t="n"/>
    </row>
    <row r="604">
      <c r="A604" s="3">
        <f>IF(C604="","",ROW()-1)</f>
        <v/>
      </c>
      <c r="B604" s="4" t="n"/>
      <c r="C604" s="4" t="n"/>
      <c r="D604" s="5" t="n"/>
      <c r="E604" s="5" t="n"/>
      <c r="F604" s="5" t="n"/>
      <c r="G604" s="5" t="n"/>
      <c r="H604" s="5" t="n"/>
      <c r="I604" s="5" t="n"/>
      <c r="J604" s="5" t="n"/>
      <c r="K604" s="6" t="n"/>
      <c r="L604" s="6" t="n"/>
      <c r="M604" s="6" t="n"/>
      <c r="N604" s="5" t="n"/>
      <c r="O604" s="21" t="n"/>
      <c r="P604" s="5" t="n"/>
      <c r="Q604" s="5" t="n"/>
      <c r="R604" s="6" t="n"/>
      <c r="S604" s="4" t="n"/>
      <c r="T604" s="4" t="n"/>
      <c r="U604" s="3">
        <f>IF(C604="","",IF(T604="",TODAY()-C604,T604-C604))</f>
        <v/>
      </c>
      <c r="V604" s="5" t="n"/>
      <c r="W604" s="6" t="n"/>
      <c r="X604" s="3">
        <f>IF(P604="","",IFERROR(VLOOKUP(P604,Parâmetros!$J$2:$K$5,2,FALSE),""))</f>
        <v/>
      </c>
      <c r="Y604" s="4">
        <f>IF(OR(C604="",X604=""),"",C604+X604)</f>
        <v/>
      </c>
      <c r="Z604" s="5">
        <f>IF(C604="","",IF(Q604="Concluído","Concluído",IF(Y604&lt;TODAY(),"Vencido",IF(Y604-TODAY()&lt;=2,"A vencer","No prazo"))))</f>
        <v/>
      </c>
      <c r="AA604" s="3">
        <f>IF(OR(Y604="",Q604="Concluído"),"",Y604-TODAY())</f>
        <v/>
      </c>
      <c r="AB604" s="5" t="n"/>
      <c r="AC604" s="5" t="n"/>
      <c r="AD604" s="4" t="n"/>
    </row>
    <row r="605">
      <c r="A605" s="3">
        <f>IF(C605="","",ROW()-1)</f>
        <v/>
      </c>
      <c r="B605" s="4" t="n"/>
      <c r="C605" s="4" t="n"/>
      <c r="D605" s="5" t="n"/>
      <c r="E605" s="5" t="n"/>
      <c r="F605" s="5" t="n"/>
      <c r="G605" s="5" t="n"/>
      <c r="H605" s="5" t="n"/>
      <c r="I605" s="5" t="n"/>
      <c r="J605" s="5" t="n"/>
      <c r="K605" s="6" t="n"/>
      <c r="L605" s="6" t="n"/>
      <c r="M605" s="6" t="n"/>
      <c r="N605" s="5" t="n"/>
      <c r="O605" s="21" t="n"/>
      <c r="P605" s="5" t="n"/>
      <c r="Q605" s="5" t="n"/>
      <c r="R605" s="6" t="n"/>
      <c r="S605" s="4" t="n"/>
      <c r="T605" s="4" t="n"/>
      <c r="U605" s="3">
        <f>IF(C605="","",IF(T605="",TODAY()-C605,T605-C605))</f>
        <v/>
      </c>
      <c r="V605" s="5" t="n"/>
      <c r="W605" s="6" t="n"/>
      <c r="X605" s="3">
        <f>IF(P605="","",IFERROR(VLOOKUP(P605,Parâmetros!$J$2:$K$5,2,FALSE),""))</f>
        <v/>
      </c>
      <c r="Y605" s="4">
        <f>IF(OR(C605="",X605=""),"",C605+X605)</f>
        <v/>
      </c>
      <c r="Z605" s="5">
        <f>IF(C605="","",IF(Q605="Concluído","Concluído",IF(Y605&lt;TODAY(),"Vencido",IF(Y605-TODAY()&lt;=2,"A vencer","No prazo"))))</f>
        <v/>
      </c>
      <c r="AA605" s="3">
        <f>IF(OR(Y605="",Q605="Concluído"),"",Y605-TODAY())</f>
        <v/>
      </c>
      <c r="AB605" s="5" t="n"/>
      <c r="AC605" s="5" t="n"/>
      <c r="AD605" s="4" t="n"/>
    </row>
    <row r="606">
      <c r="A606" s="3">
        <f>IF(C606="","",ROW()-1)</f>
        <v/>
      </c>
      <c r="B606" s="4" t="n"/>
      <c r="C606" s="4" t="n"/>
      <c r="D606" s="5" t="n"/>
      <c r="E606" s="5" t="n"/>
      <c r="F606" s="5" t="n"/>
      <c r="G606" s="5" t="n"/>
      <c r="H606" s="5" t="n"/>
      <c r="I606" s="5" t="n"/>
      <c r="J606" s="5" t="n"/>
      <c r="K606" s="6" t="n"/>
      <c r="L606" s="6" t="n"/>
      <c r="M606" s="6" t="n"/>
      <c r="N606" s="5" t="n"/>
      <c r="O606" s="21" t="n"/>
      <c r="P606" s="5" t="n"/>
      <c r="Q606" s="5" t="n"/>
      <c r="R606" s="6" t="n"/>
      <c r="S606" s="4" t="n"/>
      <c r="T606" s="4" t="n"/>
      <c r="U606" s="3">
        <f>IF(C606="","",IF(T606="",TODAY()-C606,T606-C606))</f>
        <v/>
      </c>
      <c r="V606" s="5" t="n"/>
      <c r="W606" s="6" t="n"/>
      <c r="X606" s="3">
        <f>IF(P606="","",IFERROR(VLOOKUP(P606,Parâmetros!$J$2:$K$5,2,FALSE),""))</f>
        <v/>
      </c>
      <c r="Y606" s="4">
        <f>IF(OR(C606="",X606=""),"",C606+X606)</f>
        <v/>
      </c>
      <c r="Z606" s="5">
        <f>IF(C606="","",IF(Q606="Concluído","Concluído",IF(Y606&lt;TODAY(),"Vencido",IF(Y606-TODAY()&lt;=2,"A vencer","No prazo"))))</f>
        <v/>
      </c>
      <c r="AA606" s="3">
        <f>IF(OR(Y606="",Q606="Concluído"),"",Y606-TODAY())</f>
        <v/>
      </c>
      <c r="AB606" s="5" t="n"/>
      <c r="AC606" s="5" t="n"/>
      <c r="AD606" s="4" t="n"/>
    </row>
    <row r="607">
      <c r="A607" s="3">
        <f>IF(C607="","",ROW()-1)</f>
        <v/>
      </c>
      <c r="B607" s="4" t="n"/>
      <c r="C607" s="4" t="n"/>
      <c r="D607" s="5" t="n"/>
      <c r="E607" s="5" t="n"/>
      <c r="F607" s="5" t="n"/>
      <c r="G607" s="5" t="n"/>
      <c r="H607" s="5" t="n"/>
      <c r="I607" s="5" t="n"/>
      <c r="J607" s="5" t="n"/>
      <c r="K607" s="6" t="n"/>
      <c r="L607" s="6" t="n"/>
      <c r="M607" s="6" t="n"/>
      <c r="N607" s="5" t="n"/>
      <c r="O607" s="21" t="n"/>
      <c r="P607" s="5" t="n"/>
      <c r="Q607" s="5" t="n"/>
      <c r="R607" s="6" t="n"/>
      <c r="S607" s="4" t="n"/>
      <c r="T607" s="4" t="n"/>
      <c r="U607" s="3">
        <f>IF(C607="","",IF(T607="",TODAY()-C607,T607-C607))</f>
        <v/>
      </c>
      <c r="V607" s="5" t="n"/>
      <c r="W607" s="6" t="n"/>
      <c r="X607" s="3">
        <f>IF(P607="","",IFERROR(VLOOKUP(P607,Parâmetros!$J$2:$K$5,2,FALSE),""))</f>
        <v/>
      </c>
      <c r="Y607" s="4">
        <f>IF(OR(C607="",X607=""),"",C607+X607)</f>
        <v/>
      </c>
      <c r="Z607" s="5">
        <f>IF(C607="","",IF(Q607="Concluído","Concluído",IF(Y607&lt;TODAY(),"Vencido",IF(Y607-TODAY()&lt;=2,"A vencer","No prazo"))))</f>
        <v/>
      </c>
      <c r="AA607" s="3">
        <f>IF(OR(Y607="",Q607="Concluído"),"",Y607-TODAY())</f>
        <v/>
      </c>
      <c r="AB607" s="5" t="n"/>
      <c r="AC607" s="5" t="n"/>
      <c r="AD607" s="4" t="n"/>
    </row>
    <row r="608">
      <c r="A608" s="3">
        <f>IF(C608="","",ROW()-1)</f>
        <v/>
      </c>
      <c r="B608" s="4" t="n"/>
      <c r="C608" s="4" t="n"/>
      <c r="D608" s="5" t="n"/>
      <c r="E608" s="5" t="n"/>
      <c r="F608" s="5" t="n"/>
      <c r="G608" s="5" t="n"/>
      <c r="H608" s="5" t="n"/>
      <c r="I608" s="5" t="n"/>
      <c r="J608" s="5" t="n"/>
      <c r="K608" s="6" t="n"/>
      <c r="L608" s="6" t="n"/>
      <c r="M608" s="6" t="n"/>
      <c r="N608" s="5" t="n"/>
      <c r="O608" s="21" t="n"/>
      <c r="P608" s="5" t="n"/>
      <c r="Q608" s="5" t="n"/>
      <c r="R608" s="6" t="n"/>
      <c r="S608" s="4" t="n"/>
      <c r="T608" s="4" t="n"/>
      <c r="U608" s="3">
        <f>IF(C608="","",IF(T608="",TODAY()-C608,T608-C608))</f>
        <v/>
      </c>
      <c r="V608" s="5" t="n"/>
      <c r="W608" s="6" t="n"/>
      <c r="X608" s="3">
        <f>IF(P608="","",IFERROR(VLOOKUP(P608,Parâmetros!$J$2:$K$5,2,FALSE),""))</f>
        <v/>
      </c>
      <c r="Y608" s="4">
        <f>IF(OR(C608="",X608=""),"",C608+X608)</f>
        <v/>
      </c>
      <c r="Z608" s="5">
        <f>IF(C608="","",IF(Q608="Concluído","Concluído",IF(Y608&lt;TODAY(),"Vencido",IF(Y608-TODAY()&lt;=2,"A vencer","No prazo"))))</f>
        <v/>
      </c>
      <c r="AA608" s="3">
        <f>IF(OR(Y608="",Q608="Concluído"),"",Y608-TODAY())</f>
        <v/>
      </c>
      <c r="AB608" s="5" t="n"/>
      <c r="AC608" s="5" t="n"/>
      <c r="AD608" s="4" t="n"/>
    </row>
    <row r="609">
      <c r="A609" s="3">
        <f>IF(C609="","",ROW()-1)</f>
        <v/>
      </c>
      <c r="B609" s="4" t="n"/>
      <c r="C609" s="4" t="n"/>
      <c r="D609" s="5" t="n"/>
      <c r="E609" s="5" t="n"/>
      <c r="F609" s="5" t="n"/>
      <c r="G609" s="5" t="n"/>
      <c r="H609" s="5" t="n"/>
      <c r="I609" s="5" t="n"/>
      <c r="J609" s="5" t="n"/>
      <c r="K609" s="6" t="n"/>
      <c r="L609" s="6" t="n"/>
      <c r="M609" s="6" t="n"/>
      <c r="N609" s="5" t="n"/>
      <c r="O609" s="21" t="n"/>
      <c r="P609" s="5" t="n"/>
      <c r="Q609" s="5" t="n"/>
      <c r="R609" s="6" t="n"/>
      <c r="S609" s="4" t="n"/>
      <c r="T609" s="4" t="n"/>
      <c r="U609" s="3">
        <f>IF(C609="","",IF(T609="",TODAY()-C609,T609-C609))</f>
        <v/>
      </c>
      <c r="V609" s="5" t="n"/>
      <c r="W609" s="6" t="n"/>
      <c r="X609" s="3">
        <f>IF(P609="","",IFERROR(VLOOKUP(P609,Parâmetros!$J$2:$K$5,2,FALSE),""))</f>
        <v/>
      </c>
      <c r="Y609" s="4">
        <f>IF(OR(C609="",X609=""),"",C609+X609)</f>
        <v/>
      </c>
      <c r="Z609" s="5">
        <f>IF(C609="","",IF(Q609="Concluído","Concluído",IF(Y609&lt;TODAY(),"Vencido",IF(Y609-TODAY()&lt;=2,"A vencer","No prazo"))))</f>
        <v/>
      </c>
      <c r="AA609" s="3">
        <f>IF(OR(Y609="",Q609="Concluído"),"",Y609-TODAY())</f>
        <v/>
      </c>
      <c r="AB609" s="5" t="n"/>
      <c r="AC609" s="5" t="n"/>
      <c r="AD609" s="4" t="n"/>
    </row>
    <row r="610">
      <c r="A610" s="3">
        <f>IF(C610="","",ROW()-1)</f>
        <v/>
      </c>
      <c r="B610" s="4" t="n"/>
      <c r="C610" s="4" t="n"/>
      <c r="D610" s="5" t="n"/>
      <c r="E610" s="5" t="n"/>
      <c r="F610" s="5" t="n"/>
      <c r="G610" s="5" t="n"/>
      <c r="H610" s="5" t="n"/>
      <c r="I610" s="5" t="n"/>
      <c r="J610" s="5" t="n"/>
      <c r="K610" s="6" t="n"/>
      <c r="L610" s="6" t="n"/>
      <c r="M610" s="6" t="n"/>
      <c r="N610" s="5" t="n"/>
      <c r="O610" s="21" t="n"/>
      <c r="P610" s="5" t="n"/>
      <c r="Q610" s="5" t="n"/>
      <c r="R610" s="6" t="n"/>
      <c r="S610" s="4" t="n"/>
      <c r="T610" s="4" t="n"/>
      <c r="U610" s="3">
        <f>IF(C610="","",IF(T610="",TODAY()-C610,T610-C610))</f>
        <v/>
      </c>
      <c r="V610" s="5" t="n"/>
      <c r="W610" s="6" t="n"/>
      <c r="X610" s="3">
        <f>IF(P610="","",IFERROR(VLOOKUP(P610,Parâmetros!$J$2:$K$5,2,FALSE),""))</f>
        <v/>
      </c>
      <c r="Y610" s="4">
        <f>IF(OR(C610="",X610=""),"",C610+X610)</f>
        <v/>
      </c>
      <c r="Z610" s="5">
        <f>IF(C610="","",IF(Q610="Concluído","Concluído",IF(Y610&lt;TODAY(),"Vencido",IF(Y610-TODAY()&lt;=2,"A vencer","No prazo"))))</f>
        <v/>
      </c>
      <c r="AA610" s="3">
        <f>IF(OR(Y610="",Q610="Concluído"),"",Y610-TODAY())</f>
        <v/>
      </c>
      <c r="AB610" s="5" t="n"/>
      <c r="AC610" s="5" t="n"/>
      <c r="AD610" s="4" t="n"/>
    </row>
    <row r="611">
      <c r="A611" s="3">
        <f>IF(C611="","",ROW()-1)</f>
        <v/>
      </c>
      <c r="B611" s="4" t="n"/>
      <c r="C611" s="4" t="n"/>
      <c r="D611" s="5" t="n"/>
      <c r="E611" s="5" t="n"/>
      <c r="F611" s="5" t="n"/>
      <c r="G611" s="5" t="n"/>
      <c r="H611" s="5" t="n"/>
      <c r="I611" s="5" t="n"/>
      <c r="J611" s="5" t="n"/>
      <c r="K611" s="6" t="n"/>
      <c r="L611" s="6" t="n"/>
      <c r="M611" s="6" t="n"/>
      <c r="N611" s="5" t="n"/>
      <c r="O611" s="21" t="n"/>
      <c r="P611" s="5" t="n"/>
      <c r="Q611" s="5" t="n"/>
      <c r="R611" s="6" t="n"/>
      <c r="S611" s="4" t="n"/>
      <c r="T611" s="4" t="n"/>
      <c r="U611" s="3">
        <f>IF(C611="","",IF(T611="",TODAY()-C611,T611-C611))</f>
        <v/>
      </c>
      <c r="V611" s="5" t="n"/>
      <c r="W611" s="6" t="n"/>
      <c r="X611" s="3">
        <f>IF(P611="","",IFERROR(VLOOKUP(P611,Parâmetros!$J$2:$K$5,2,FALSE),""))</f>
        <v/>
      </c>
      <c r="Y611" s="4">
        <f>IF(OR(C611="",X611=""),"",C611+X611)</f>
        <v/>
      </c>
      <c r="Z611" s="5">
        <f>IF(C611="","",IF(Q611="Concluído","Concluído",IF(Y611&lt;TODAY(),"Vencido",IF(Y611-TODAY()&lt;=2,"A vencer","No prazo"))))</f>
        <v/>
      </c>
      <c r="AA611" s="3">
        <f>IF(OR(Y611="",Q611="Concluído"),"",Y611-TODAY())</f>
        <v/>
      </c>
      <c r="AB611" s="5" t="n"/>
      <c r="AC611" s="5" t="n"/>
      <c r="AD611" s="4" t="n"/>
    </row>
    <row r="612">
      <c r="A612" s="3">
        <f>IF(C612="","",ROW()-1)</f>
        <v/>
      </c>
      <c r="B612" s="4" t="n"/>
      <c r="C612" s="4" t="n"/>
      <c r="D612" s="5" t="n"/>
      <c r="E612" s="5" t="n"/>
      <c r="F612" s="5" t="n"/>
      <c r="G612" s="5" t="n"/>
      <c r="H612" s="5" t="n"/>
      <c r="I612" s="5" t="n"/>
      <c r="J612" s="5" t="n"/>
      <c r="K612" s="6" t="n"/>
      <c r="L612" s="6" t="n"/>
      <c r="M612" s="6" t="n"/>
      <c r="N612" s="5" t="n"/>
      <c r="O612" s="21" t="n"/>
      <c r="P612" s="5" t="n"/>
      <c r="Q612" s="5" t="n"/>
      <c r="R612" s="6" t="n"/>
      <c r="S612" s="4" t="n"/>
      <c r="T612" s="4" t="n"/>
      <c r="U612" s="3">
        <f>IF(C612="","",IF(T612="",TODAY()-C612,T612-C612))</f>
        <v/>
      </c>
      <c r="V612" s="5" t="n"/>
      <c r="W612" s="6" t="n"/>
      <c r="X612" s="3">
        <f>IF(P612="","",IFERROR(VLOOKUP(P612,Parâmetros!$J$2:$K$5,2,FALSE),""))</f>
        <v/>
      </c>
      <c r="Y612" s="4">
        <f>IF(OR(C612="",X612=""),"",C612+X612)</f>
        <v/>
      </c>
      <c r="Z612" s="5">
        <f>IF(C612="","",IF(Q612="Concluído","Concluído",IF(Y612&lt;TODAY(),"Vencido",IF(Y612-TODAY()&lt;=2,"A vencer","No prazo"))))</f>
        <v/>
      </c>
      <c r="AA612" s="3">
        <f>IF(OR(Y612="",Q612="Concluído"),"",Y612-TODAY())</f>
        <v/>
      </c>
      <c r="AB612" s="5" t="n"/>
      <c r="AC612" s="5" t="n"/>
      <c r="AD612" s="4" t="n"/>
    </row>
    <row r="613">
      <c r="A613" s="3">
        <f>IF(C613="","",ROW()-1)</f>
        <v/>
      </c>
      <c r="B613" s="4" t="n"/>
      <c r="C613" s="4" t="n"/>
      <c r="D613" s="5" t="n"/>
      <c r="E613" s="5" t="n"/>
      <c r="F613" s="5" t="n"/>
      <c r="G613" s="5" t="n"/>
      <c r="H613" s="5" t="n"/>
      <c r="I613" s="5" t="n"/>
      <c r="J613" s="5" t="n"/>
      <c r="K613" s="6" t="n"/>
      <c r="L613" s="6" t="n"/>
      <c r="M613" s="6" t="n"/>
      <c r="N613" s="5" t="n"/>
      <c r="O613" s="21" t="n"/>
      <c r="P613" s="5" t="n"/>
      <c r="Q613" s="5" t="n"/>
      <c r="R613" s="6" t="n"/>
      <c r="S613" s="4" t="n"/>
      <c r="T613" s="4" t="n"/>
      <c r="U613" s="3">
        <f>IF(C613="","",IF(T613="",TODAY()-C613,T613-C613))</f>
        <v/>
      </c>
      <c r="V613" s="5" t="n"/>
      <c r="W613" s="6" t="n"/>
      <c r="X613" s="3">
        <f>IF(P613="","",IFERROR(VLOOKUP(P613,Parâmetros!$J$2:$K$5,2,FALSE),""))</f>
        <v/>
      </c>
      <c r="Y613" s="4">
        <f>IF(OR(C613="",X613=""),"",C613+X613)</f>
        <v/>
      </c>
      <c r="Z613" s="5">
        <f>IF(C613="","",IF(Q613="Concluído","Concluído",IF(Y613&lt;TODAY(),"Vencido",IF(Y613-TODAY()&lt;=2,"A vencer","No prazo"))))</f>
        <v/>
      </c>
      <c r="AA613" s="3">
        <f>IF(OR(Y613="",Q613="Concluído"),"",Y613-TODAY())</f>
        <v/>
      </c>
      <c r="AB613" s="5" t="n"/>
      <c r="AC613" s="5" t="n"/>
      <c r="AD613" s="4" t="n"/>
    </row>
    <row r="614">
      <c r="A614" s="3">
        <f>IF(C614="","",ROW()-1)</f>
        <v/>
      </c>
      <c r="B614" s="4" t="n"/>
      <c r="C614" s="4" t="n"/>
      <c r="D614" s="5" t="n"/>
      <c r="E614" s="5" t="n"/>
      <c r="F614" s="5" t="n"/>
      <c r="G614" s="5" t="n"/>
      <c r="H614" s="5" t="n"/>
      <c r="I614" s="5" t="n"/>
      <c r="J614" s="5" t="n"/>
      <c r="K614" s="6" t="n"/>
      <c r="L614" s="6" t="n"/>
      <c r="M614" s="6" t="n"/>
      <c r="N614" s="5" t="n"/>
      <c r="O614" s="21" t="n"/>
      <c r="P614" s="5" t="n"/>
      <c r="Q614" s="5" t="n"/>
      <c r="R614" s="6" t="n"/>
      <c r="S614" s="4" t="n"/>
      <c r="T614" s="4" t="n"/>
      <c r="U614" s="3">
        <f>IF(C614="","",IF(T614="",TODAY()-C614,T614-C614))</f>
        <v/>
      </c>
      <c r="V614" s="5" t="n"/>
      <c r="W614" s="6" t="n"/>
      <c r="X614" s="3">
        <f>IF(P614="","",IFERROR(VLOOKUP(P614,Parâmetros!$J$2:$K$5,2,FALSE),""))</f>
        <v/>
      </c>
      <c r="Y614" s="4">
        <f>IF(OR(C614="",X614=""),"",C614+X614)</f>
        <v/>
      </c>
      <c r="Z614" s="5">
        <f>IF(C614="","",IF(Q614="Concluído","Concluído",IF(Y614&lt;TODAY(),"Vencido",IF(Y614-TODAY()&lt;=2,"A vencer","No prazo"))))</f>
        <v/>
      </c>
      <c r="AA614" s="3">
        <f>IF(OR(Y614="",Q614="Concluído"),"",Y614-TODAY())</f>
        <v/>
      </c>
      <c r="AB614" s="5" t="n"/>
      <c r="AC614" s="5" t="n"/>
      <c r="AD614" s="4" t="n"/>
    </row>
    <row r="615">
      <c r="A615" s="3">
        <f>IF(C615="","",ROW()-1)</f>
        <v/>
      </c>
      <c r="B615" s="4" t="n"/>
      <c r="C615" s="4" t="n"/>
      <c r="D615" s="5" t="n"/>
      <c r="E615" s="5" t="n"/>
      <c r="F615" s="5" t="n"/>
      <c r="G615" s="5" t="n"/>
      <c r="H615" s="5" t="n"/>
      <c r="I615" s="5" t="n"/>
      <c r="J615" s="5" t="n"/>
      <c r="K615" s="6" t="n"/>
      <c r="L615" s="6" t="n"/>
      <c r="M615" s="6" t="n"/>
      <c r="N615" s="5" t="n"/>
      <c r="O615" s="21" t="n"/>
      <c r="P615" s="5" t="n"/>
      <c r="Q615" s="5" t="n"/>
      <c r="R615" s="6" t="n"/>
      <c r="S615" s="4" t="n"/>
      <c r="T615" s="4" t="n"/>
      <c r="U615" s="3">
        <f>IF(C615="","",IF(T615="",TODAY()-C615,T615-C615))</f>
        <v/>
      </c>
      <c r="V615" s="5" t="n"/>
      <c r="W615" s="6" t="n"/>
      <c r="X615" s="3">
        <f>IF(P615="","",IFERROR(VLOOKUP(P615,Parâmetros!$J$2:$K$5,2,FALSE),""))</f>
        <v/>
      </c>
      <c r="Y615" s="4">
        <f>IF(OR(C615="",X615=""),"",C615+X615)</f>
        <v/>
      </c>
      <c r="Z615" s="5">
        <f>IF(C615="","",IF(Q615="Concluído","Concluído",IF(Y615&lt;TODAY(),"Vencido",IF(Y615-TODAY()&lt;=2,"A vencer","No prazo"))))</f>
        <v/>
      </c>
      <c r="AA615" s="3">
        <f>IF(OR(Y615="",Q615="Concluído"),"",Y615-TODAY())</f>
        <v/>
      </c>
      <c r="AB615" s="5" t="n"/>
      <c r="AC615" s="5" t="n"/>
      <c r="AD615" s="4" t="n"/>
    </row>
    <row r="616">
      <c r="A616" s="3">
        <f>IF(C616="","",ROW()-1)</f>
        <v/>
      </c>
      <c r="B616" s="4" t="n"/>
      <c r="C616" s="4" t="n"/>
      <c r="D616" s="5" t="n"/>
      <c r="E616" s="5" t="n"/>
      <c r="F616" s="5" t="n"/>
      <c r="G616" s="5" t="n"/>
      <c r="H616" s="5" t="n"/>
      <c r="I616" s="5" t="n"/>
      <c r="J616" s="5" t="n"/>
      <c r="K616" s="6" t="n"/>
      <c r="L616" s="6" t="n"/>
      <c r="M616" s="6" t="n"/>
      <c r="N616" s="5" t="n"/>
      <c r="O616" s="21" t="n"/>
      <c r="P616" s="5" t="n"/>
      <c r="Q616" s="5" t="n"/>
      <c r="R616" s="6" t="n"/>
      <c r="S616" s="4" t="n"/>
      <c r="T616" s="4" t="n"/>
      <c r="U616" s="3">
        <f>IF(C616="","",IF(T616="",TODAY()-C616,T616-C616))</f>
        <v/>
      </c>
      <c r="V616" s="5" t="n"/>
      <c r="W616" s="6" t="n"/>
      <c r="X616" s="3">
        <f>IF(P616="","",IFERROR(VLOOKUP(P616,Parâmetros!$J$2:$K$5,2,FALSE),""))</f>
        <v/>
      </c>
      <c r="Y616" s="4">
        <f>IF(OR(C616="",X616=""),"",C616+X616)</f>
        <v/>
      </c>
      <c r="Z616" s="5">
        <f>IF(C616="","",IF(Q616="Concluído","Concluído",IF(Y616&lt;TODAY(),"Vencido",IF(Y616-TODAY()&lt;=2,"A vencer","No prazo"))))</f>
        <v/>
      </c>
      <c r="AA616" s="3">
        <f>IF(OR(Y616="",Q616="Concluído"),"",Y616-TODAY())</f>
        <v/>
      </c>
      <c r="AB616" s="5" t="n"/>
      <c r="AC616" s="5" t="n"/>
      <c r="AD616" s="4" t="n"/>
    </row>
    <row r="617">
      <c r="A617" s="3">
        <f>IF(C617="","",ROW()-1)</f>
        <v/>
      </c>
      <c r="B617" s="4" t="n"/>
      <c r="C617" s="4" t="n"/>
      <c r="D617" s="5" t="n"/>
      <c r="E617" s="5" t="n"/>
      <c r="F617" s="5" t="n"/>
      <c r="G617" s="5" t="n"/>
      <c r="H617" s="5" t="n"/>
      <c r="I617" s="5" t="n"/>
      <c r="J617" s="5" t="n"/>
      <c r="K617" s="6" t="n"/>
      <c r="L617" s="6" t="n"/>
      <c r="M617" s="6" t="n"/>
      <c r="N617" s="5" t="n"/>
      <c r="O617" s="21" t="n"/>
      <c r="P617" s="5" t="n"/>
      <c r="Q617" s="5" t="n"/>
      <c r="R617" s="6" t="n"/>
      <c r="S617" s="4" t="n"/>
      <c r="T617" s="4" t="n"/>
      <c r="U617" s="3">
        <f>IF(C617="","",IF(T617="",TODAY()-C617,T617-C617))</f>
        <v/>
      </c>
      <c r="V617" s="5" t="n"/>
      <c r="W617" s="6" t="n"/>
      <c r="X617" s="3">
        <f>IF(P617="","",IFERROR(VLOOKUP(P617,Parâmetros!$J$2:$K$5,2,FALSE),""))</f>
        <v/>
      </c>
      <c r="Y617" s="4">
        <f>IF(OR(C617="",X617=""),"",C617+X617)</f>
        <v/>
      </c>
      <c r="Z617" s="5">
        <f>IF(C617="","",IF(Q617="Concluído","Concluído",IF(Y617&lt;TODAY(),"Vencido",IF(Y617-TODAY()&lt;=2,"A vencer","No prazo"))))</f>
        <v/>
      </c>
      <c r="AA617" s="3">
        <f>IF(OR(Y617="",Q617="Concluído"),"",Y617-TODAY())</f>
        <v/>
      </c>
      <c r="AB617" s="5" t="n"/>
      <c r="AC617" s="5" t="n"/>
      <c r="AD617" s="4" t="n"/>
    </row>
    <row r="618">
      <c r="A618" s="3">
        <f>IF(C618="","",ROW()-1)</f>
        <v/>
      </c>
      <c r="B618" s="4" t="n"/>
      <c r="C618" s="4" t="n"/>
      <c r="D618" s="5" t="n"/>
      <c r="E618" s="5" t="n"/>
      <c r="F618" s="5" t="n"/>
      <c r="G618" s="5" t="n"/>
      <c r="H618" s="5" t="n"/>
      <c r="I618" s="5" t="n"/>
      <c r="J618" s="5" t="n"/>
      <c r="K618" s="6" t="n"/>
      <c r="L618" s="6" t="n"/>
      <c r="M618" s="6" t="n"/>
      <c r="N618" s="5" t="n"/>
      <c r="O618" s="21" t="n"/>
      <c r="P618" s="5" t="n"/>
      <c r="Q618" s="5" t="n"/>
      <c r="R618" s="6" t="n"/>
      <c r="S618" s="4" t="n"/>
      <c r="T618" s="4" t="n"/>
      <c r="U618" s="3">
        <f>IF(C618="","",IF(T618="",TODAY()-C618,T618-C618))</f>
        <v/>
      </c>
      <c r="V618" s="5" t="n"/>
      <c r="W618" s="6" t="n"/>
      <c r="X618" s="3">
        <f>IF(P618="","",IFERROR(VLOOKUP(P618,Parâmetros!$J$2:$K$5,2,FALSE),""))</f>
        <v/>
      </c>
      <c r="Y618" s="4">
        <f>IF(OR(C618="",X618=""),"",C618+X618)</f>
        <v/>
      </c>
      <c r="Z618" s="5">
        <f>IF(C618="","",IF(Q618="Concluído","Concluído",IF(Y618&lt;TODAY(),"Vencido",IF(Y618-TODAY()&lt;=2,"A vencer","No prazo"))))</f>
        <v/>
      </c>
      <c r="AA618" s="3">
        <f>IF(OR(Y618="",Q618="Concluído"),"",Y618-TODAY())</f>
        <v/>
      </c>
      <c r="AB618" s="5" t="n"/>
      <c r="AC618" s="5" t="n"/>
      <c r="AD618" s="4" t="n"/>
    </row>
    <row r="619">
      <c r="A619" s="3">
        <f>IF(C619="","",ROW()-1)</f>
        <v/>
      </c>
      <c r="B619" s="4" t="n"/>
      <c r="C619" s="4" t="n"/>
      <c r="D619" s="5" t="n"/>
      <c r="E619" s="5" t="n"/>
      <c r="F619" s="5" t="n"/>
      <c r="G619" s="5" t="n"/>
      <c r="H619" s="5" t="n"/>
      <c r="I619" s="5" t="n"/>
      <c r="J619" s="5" t="n"/>
      <c r="K619" s="6" t="n"/>
      <c r="L619" s="6" t="n"/>
      <c r="M619" s="6" t="n"/>
      <c r="N619" s="5" t="n"/>
      <c r="O619" s="21" t="n"/>
      <c r="P619" s="5" t="n"/>
      <c r="Q619" s="5" t="n"/>
      <c r="R619" s="6" t="n"/>
      <c r="S619" s="4" t="n"/>
      <c r="T619" s="4" t="n"/>
      <c r="U619" s="3">
        <f>IF(C619="","",IF(T619="",TODAY()-C619,T619-C619))</f>
        <v/>
      </c>
      <c r="V619" s="5" t="n"/>
      <c r="W619" s="6" t="n"/>
      <c r="X619" s="3">
        <f>IF(P619="","",IFERROR(VLOOKUP(P619,Parâmetros!$J$2:$K$5,2,FALSE),""))</f>
        <v/>
      </c>
      <c r="Y619" s="4">
        <f>IF(OR(C619="",X619=""),"",C619+X619)</f>
        <v/>
      </c>
      <c r="Z619" s="5">
        <f>IF(C619="","",IF(Q619="Concluído","Concluído",IF(Y619&lt;TODAY(),"Vencido",IF(Y619-TODAY()&lt;=2,"A vencer","No prazo"))))</f>
        <v/>
      </c>
      <c r="AA619" s="3">
        <f>IF(OR(Y619="",Q619="Concluído"),"",Y619-TODAY())</f>
        <v/>
      </c>
      <c r="AB619" s="5" t="n"/>
      <c r="AC619" s="5" t="n"/>
      <c r="AD619" s="4" t="n"/>
    </row>
    <row r="620">
      <c r="A620" s="3">
        <f>IF(C620="","",ROW()-1)</f>
        <v/>
      </c>
      <c r="B620" s="4" t="n"/>
      <c r="C620" s="4" t="n"/>
      <c r="D620" s="5" t="n"/>
      <c r="E620" s="5" t="n"/>
      <c r="F620" s="5" t="n"/>
      <c r="G620" s="5" t="n"/>
      <c r="H620" s="5" t="n"/>
      <c r="I620" s="5" t="n"/>
      <c r="J620" s="5" t="n"/>
      <c r="K620" s="6" t="n"/>
      <c r="L620" s="6" t="n"/>
      <c r="M620" s="6" t="n"/>
      <c r="N620" s="5" t="n"/>
      <c r="O620" s="21" t="n"/>
      <c r="P620" s="5" t="n"/>
      <c r="Q620" s="5" t="n"/>
      <c r="R620" s="6" t="n"/>
      <c r="S620" s="4" t="n"/>
      <c r="T620" s="4" t="n"/>
      <c r="U620" s="3">
        <f>IF(C620="","",IF(T620="",TODAY()-C620,T620-C620))</f>
        <v/>
      </c>
      <c r="V620" s="5" t="n"/>
      <c r="W620" s="6" t="n"/>
      <c r="X620" s="3">
        <f>IF(P620="","",IFERROR(VLOOKUP(P620,Parâmetros!$J$2:$K$5,2,FALSE),""))</f>
        <v/>
      </c>
      <c r="Y620" s="4">
        <f>IF(OR(C620="",X620=""),"",C620+X620)</f>
        <v/>
      </c>
      <c r="Z620" s="5">
        <f>IF(C620="","",IF(Q620="Concluído","Concluído",IF(Y620&lt;TODAY(),"Vencido",IF(Y620-TODAY()&lt;=2,"A vencer","No prazo"))))</f>
        <v/>
      </c>
      <c r="AA620" s="3">
        <f>IF(OR(Y620="",Q620="Concluído"),"",Y620-TODAY())</f>
        <v/>
      </c>
      <c r="AB620" s="5" t="n"/>
      <c r="AC620" s="5" t="n"/>
      <c r="AD620" s="4" t="n"/>
    </row>
    <row r="621">
      <c r="A621" s="3">
        <f>IF(C621="","",ROW()-1)</f>
        <v/>
      </c>
      <c r="B621" s="4" t="n"/>
      <c r="C621" s="4" t="n"/>
      <c r="D621" s="5" t="n"/>
      <c r="E621" s="5" t="n"/>
      <c r="F621" s="5" t="n"/>
      <c r="G621" s="5" t="n"/>
      <c r="H621" s="5" t="n"/>
      <c r="I621" s="5" t="n"/>
      <c r="J621" s="5" t="n"/>
      <c r="K621" s="6" t="n"/>
      <c r="L621" s="6" t="n"/>
      <c r="M621" s="6" t="n"/>
      <c r="N621" s="5" t="n"/>
      <c r="O621" s="21" t="n"/>
      <c r="P621" s="5" t="n"/>
      <c r="Q621" s="5" t="n"/>
      <c r="R621" s="6" t="n"/>
      <c r="S621" s="4" t="n"/>
      <c r="T621" s="4" t="n"/>
      <c r="U621" s="3">
        <f>IF(C621="","",IF(T621="",TODAY()-C621,T621-C621))</f>
        <v/>
      </c>
      <c r="V621" s="5" t="n"/>
      <c r="W621" s="6" t="n"/>
      <c r="X621" s="3">
        <f>IF(P621="","",IFERROR(VLOOKUP(P621,Parâmetros!$J$2:$K$5,2,FALSE),""))</f>
        <v/>
      </c>
      <c r="Y621" s="4">
        <f>IF(OR(C621="",X621=""),"",C621+X621)</f>
        <v/>
      </c>
      <c r="Z621" s="5">
        <f>IF(C621="","",IF(Q621="Concluído","Concluído",IF(Y621&lt;TODAY(),"Vencido",IF(Y621-TODAY()&lt;=2,"A vencer","No prazo"))))</f>
        <v/>
      </c>
      <c r="AA621" s="3">
        <f>IF(OR(Y621="",Q621="Concluído"),"",Y621-TODAY())</f>
        <v/>
      </c>
      <c r="AB621" s="5" t="n"/>
      <c r="AC621" s="5" t="n"/>
      <c r="AD621" s="4" t="n"/>
    </row>
    <row r="622">
      <c r="A622" s="3">
        <f>IF(C622="","",ROW()-1)</f>
        <v/>
      </c>
      <c r="B622" s="4" t="n"/>
      <c r="C622" s="4" t="n"/>
      <c r="D622" s="5" t="n"/>
      <c r="E622" s="5" t="n"/>
      <c r="F622" s="5" t="n"/>
      <c r="G622" s="5" t="n"/>
      <c r="H622" s="5" t="n"/>
      <c r="I622" s="5" t="n"/>
      <c r="J622" s="5" t="n"/>
      <c r="K622" s="6" t="n"/>
      <c r="L622" s="6" t="n"/>
      <c r="M622" s="6" t="n"/>
      <c r="N622" s="5" t="n"/>
      <c r="O622" s="21" t="n"/>
      <c r="P622" s="5" t="n"/>
      <c r="Q622" s="5" t="n"/>
      <c r="R622" s="6" t="n"/>
      <c r="S622" s="4" t="n"/>
      <c r="T622" s="4" t="n"/>
      <c r="U622" s="3">
        <f>IF(C622="","",IF(T622="",TODAY()-C622,T622-C622))</f>
        <v/>
      </c>
      <c r="V622" s="5" t="n"/>
      <c r="W622" s="6" t="n"/>
      <c r="X622" s="3">
        <f>IF(P622="","",IFERROR(VLOOKUP(P622,Parâmetros!$J$2:$K$5,2,FALSE),""))</f>
        <v/>
      </c>
      <c r="Y622" s="4">
        <f>IF(OR(C622="",X622=""),"",C622+X622)</f>
        <v/>
      </c>
      <c r="Z622" s="5">
        <f>IF(C622="","",IF(Q622="Concluído","Concluído",IF(Y622&lt;TODAY(),"Vencido",IF(Y622-TODAY()&lt;=2,"A vencer","No prazo"))))</f>
        <v/>
      </c>
      <c r="AA622" s="3">
        <f>IF(OR(Y622="",Q622="Concluído"),"",Y622-TODAY())</f>
        <v/>
      </c>
      <c r="AB622" s="5" t="n"/>
      <c r="AC622" s="5" t="n"/>
      <c r="AD622" s="4" t="n"/>
    </row>
    <row r="623">
      <c r="A623" s="3">
        <f>IF(C623="","",ROW()-1)</f>
        <v/>
      </c>
      <c r="B623" s="4" t="n"/>
      <c r="C623" s="4" t="n"/>
      <c r="D623" s="5" t="n"/>
      <c r="E623" s="5" t="n"/>
      <c r="F623" s="5" t="n"/>
      <c r="G623" s="5" t="n"/>
      <c r="H623" s="5" t="n"/>
      <c r="I623" s="5" t="n"/>
      <c r="J623" s="5" t="n"/>
      <c r="K623" s="6" t="n"/>
      <c r="L623" s="6" t="n"/>
      <c r="M623" s="6" t="n"/>
      <c r="N623" s="5" t="n"/>
      <c r="O623" s="21" t="n"/>
      <c r="P623" s="5" t="n"/>
      <c r="Q623" s="5" t="n"/>
      <c r="R623" s="6" t="n"/>
      <c r="S623" s="4" t="n"/>
      <c r="T623" s="4" t="n"/>
      <c r="U623" s="3">
        <f>IF(C623="","",IF(T623="",TODAY()-C623,T623-C623))</f>
        <v/>
      </c>
      <c r="V623" s="5" t="n"/>
      <c r="W623" s="6" t="n"/>
      <c r="X623" s="3">
        <f>IF(P623="","",IFERROR(VLOOKUP(P623,Parâmetros!$J$2:$K$5,2,FALSE),""))</f>
        <v/>
      </c>
      <c r="Y623" s="4">
        <f>IF(OR(C623="",X623=""),"",C623+X623)</f>
        <v/>
      </c>
      <c r="Z623" s="5">
        <f>IF(C623="","",IF(Q623="Concluído","Concluído",IF(Y623&lt;TODAY(),"Vencido",IF(Y623-TODAY()&lt;=2,"A vencer","No prazo"))))</f>
        <v/>
      </c>
      <c r="AA623" s="3">
        <f>IF(OR(Y623="",Q623="Concluído"),"",Y623-TODAY())</f>
        <v/>
      </c>
      <c r="AB623" s="5" t="n"/>
      <c r="AC623" s="5" t="n"/>
      <c r="AD623" s="4" t="n"/>
    </row>
    <row r="624">
      <c r="A624" s="3">
        <f>IF(C624="","",ROW()-1)</f>
        <v/>
      </c>
      <c r="B624" s="4" t="n"/>
      <c r="C624" s="4" t="n"/>
      <c r="D624" s="5" t="n"/>
      <c r="E624" s="5" t="n"/>
      <c r="F624" s="5" t="n"/>
      <c r="G624" s="5" t="n"/>
      <c r="H624" s="5" t="n"/>
      <c r="I624" s="5" t="n"/>
      <c r="J624" s="5" t="n"/>
      <c r="K624" s="6" t="n"/>
      <c r="L624" s="6" t="n"/>
      <c r="M624" s="6" t="n"/>
      <c r="N624" s="5" t="n"/>
      <c r="O624" s="21" t="n"/>
      <c r="P624" s="5" t="n"/>
      <c r="Q624" s="5" t="n"/>
      <c r="R624" s="6" t="n"/>
      <c r="S624" s="4" t="n"/>
      <c r="T624" s="4" t="n"/>
      <c r="U624" s="3">
        <f>IF(C624="","",IF(T624="",TODAY()-C624,T624-C624))</f>
        <v/>
      </c>
      <c r="V624" s="5" t="n"/>
      <c r="W624" s="6" t="n"/>
      <c r="X624" s="3">
        <f>IF(P624="","",IFERROR(VLOOKUP(P624,Parâmetros!$J$2:$K$5,2,FALSE),""))</f>
        <v/>
      </c>
      <c r="Y624" s="4">
        <f>IF(OR(C624="",X624=""),"",C624+X624)</f>
        <v/>
      </c>
      <c r="Z624" s="5">
        <f>IF(C624="","",IF(Q624="Concluído","Concluído",IF(Y624&lt;TODAY(),"Vencido",IF(Y624-TODAY()&lt;=2,"A vencer","No prazo"))))</f>
        <v/>
      </c>
      <c r="AA624" s="3">
        <f>IF(OR(Y624="",Q624="Concluído"),"",Y624-TODAY())</f>
        <v/>
      </c>
      <c r="AB624" s="5" t="n"/>
      <c r="AC624" s="5" t="n"/>
      <c r="AD624" s="4" t="n"/>
    </row>
    <row r="625">
      <c r="A625" s="3">
        <f>IF(C625="","",ROW()-1)</f>
        <v/>
      </c>
      <c r="B625" s="4" t="n"/>
      <c r="C625" s="4" t="n"/>
      <c r="D625" s="5" t="n"/>
      <c r="E625" s="5" t="n"/>
      <c r="F625" s="5" t="n"/>
      <c r="G625" s="5" t="n"/>
      <c r="H625" s="5" t="n"/>
      <c r="I625" s="5" t="n"/>
      <c r="J625" s="5" t="n"/>
      <c r="K625" s="6" t="n"/>
      <c r="L625" s="6" t="n"/>
      <c r="M625" s="6" t="n"/>
      <c r="N625" s="5" t="n"/>
      <c r="O625" s="21" t="n"/>
      <c r="P625" s="5" t="n"/>
      <c r="Q625" s="5" t="n"/>
      <c r="R625" s="6" t="n"/>
      <c r="S625" s="4" t="n"/>
      <c r="T625" s="4" t="n"/>
      <c r="U625" s="3">
        <f>IF(C625="","",IF(T625="",TODAY()-C625,T625-C625))</f>
        <v/>
      </c>
      <c r="V625" s="5" t="n"/>
      <c r="W625" s="6" t="n"/>
      <c r="X625" s="3">
        <f>IF(P625="","",IFERROR(VLOOKUP(P625,Parâmetros!$J$2:$K$5,2,FALSE),""))</f>
        <v/>
      </c>
      <c r="Y625" s="4">
        <f>IF(OR(C625="",X625=""),"",C625+X625)</f>
        <v/>
      </c>
      <c r="Z625" s="5">
        <f>IF(C625="","",IF(Q625="Concluído","Concluído",IF(Y625&lt;TODAY(),"Vencido",IF(Y625-TODAY()&lt;=2,"A vencer","No prazo"))))</f>
        <v/>
      </c>
      <c r="AA625" s="3">
        <f>IF(OR(Y625="",Q625="Concluído"),"",Y625-TODAY())</f>
        <v/>
      </c>
      <c r="AB625" s="5" t="n"/>
      <c r="AC625" s="5" t="n"/>
      <c r="AD625" s="4" t="n"/>
    </row>
    <row r="626">
      <c r="A626" s="3">
        <f>IF(C626="","",ROW()-1)</f>
        <v/>
      </c>
      <c r="B626" s="4" t="n"/>
      <c r="C626" s="4" t="n"/>
      <c r="D626" s="5" t="n"/>
      <c r="E626" s="5" t="n"/>
      <c r="F626" s="5" t="n"/>
      <c r="G626" s="5" t="n"/>
      <c r="H626" s="5" t="n"/>
      <c r="I626" s="5" t="n"/>
      <c r="J626" s="5" t="n"/>
      <c r="K626" s="6" t="n"/>
      <c r="L626" s="6" t="n"/>
      <c r="M626" s="6" t="n"/>
      <c r="N626" s="5" t="n"/>
      <c r="O626" s="21" t="n"/>
      <c r="P626" s="5" t="n"/>
      <c r="Q626" s="5" t="n"/>
      <c r="R626" s="6" t="n"/>
      <c r="S626" s="4" t="n"/>
      <c r="T626" s="4" t="n"/>
      <c r="U626" s="3">
        <f>IF(C626="","",IF(T626="",TODAY()-C626,T626-C626))</f>
        <v/>
      </c>
      <c r="V626" s="5" t="n"/>
      <c r="W626" s="6" t="n"/>
      <c r="X626" s="3">
        <f>IF(P626="","",IFERROR(VLOOKUP(P626,Parâmetros!$J$2:$K$5,2,FALSE),""))</f>
        <v/>
      </c>
      <c r="Y626" s="4">
        <f>IF(OR(C626="",X626=""),"",C626+X626)</f>
        <v/>
      </c>
      <c r="Z626" s="5">
        <f>IF(C626="","",IF(Q626="Concluído","Concluído",IF(Y626&lt;TODAY(),"Vencido",IF(Y626-TODAY()&lt;=2,"A vencer","No prazo"))))</f>
        <v/>
      </c>
      <c r="AA626" s="3">
        <f>IF(OR(Y626="",Q626="Concluído"),"",Y626-TODAY())</f>
        <v/>
      </c>
      <c r="AB626" s="5" t="n"/>
      <c r="AC626" s="5" t="n"/>
      <c r="AD626" s="4" t="n"/>
    </row>
    <row r="627">
      <c r="A627" s="3">
        <f>IF(C627="","",ROW()-1)</f>
        <v/>
      </c>
      <c r="B627" s="4" t="n"/>
      <c r="C627" s="4" t="n"/>
      <c r="D627" s="5" t="n"/>
      <c r="E627" s="5" t="n"/>
      <c r="F627" s="5" t="n"/>
      <c r="G627" s="5" t="n"/>
      <c r="H627" s="5" t="n"/>
      <c r="I627" s="5" t="n"/>
      <c r="J627" s="5" t="n"/>
      <c r="K627" s="6" t="n"/>
      <c r="L627" s="6" t="n"/>
      <c r="M627" s="6" t="n"/>
      <c r="N627" s="5" t="n"/>
      <c r="O627" s="21" t="n"/>
      <c r="P627" s="5" t="n"/>
      <c r="Q627" s="5" t="n"/>
      <c r="R627" s="6" t="n"/>
      <c r="S627" s="4" t="n"/>
      <c r="T627" s="4" t="n"/>
      <c r="U627" s="3">
        <f>IF(C627="","",IF(T627="",TODAY()-C627,T627-C627))</f>
        <v/>
      </c>
      <c r="V627" s="5" t="n"/>
      <c r="W627" s="6" t="n"/>
      <c r="X627" s="3">
        <f>IF(P627="","",IFERROR(VLOOKUP(P627,Parâmetros!$J$2:$K$5,2,FALSE),""))</f>
        <v/>
      </c>
      <c r="Y627" s="4">
        <f>IF(OR(C627="",X627=""),"",C627+X627)</f>
        <v/>
      </c>
      <c r="Z627" s="5">
        <f>IF(C627="","",IF(Q627="Concluído","Concluído",IF(Y627&lt;TODAY(),"Vencido",IF(Y627-TODAY()&lt;=2,"A vencer","No prazo"))))</f>
        <v/>
      </c>
      <c r="AA627" s="3">
        <f>IF(OR(Y627="",Q627="Concluído"),"",Y627-TODAY())</f>
        <v/>
      </c>
      <c r="AB627" s="5" t="n"/>
      <c r="AC627" s="5" t="n"/>
      <c r="AD627" s="4" t="n"/>
    </row>
    <row r="628">
      <c r="A628" s="3">
        <f>IF(C628="","",ROW()-1)</f>
        <v/>
      </c>
      <c r="B628" s="4" t="n"/>
      <c r="C628" s="4" t="n"/>
      <c r="D628" s="5" t="n"/>
      <c r="E628" s="5" t="n"/>
      <c r="F628" s="5" t="n"/>
      <c r="G628" s="5" t="n"/>
      <c r="H628" s="5" t="n"/>
      <c r="I628" s="5" t="n"/>
      <c r="J628" s="5" t="n"/>
      <c r="K628" s="6" t="n"/>
      <c r="L628" s="6" t="n"/>
      <c r="M628" s="6" t="n"/>
      <c r="N628" s="5" t="n"/>
      <c r="O628" s="21" t="n"/>
      <c r="P628" s="5" t="n"/>
      <c r="Q628" s="5" t="n"/>
      <c r="R628" s="6" t="n"/>
      <c r="S628" s="4" t="n"/>
      <c r="T628" s="4" t="n"/>
      <c r="U628" s="3">
        <f>IF(C628="","",IF(T628="",TODAY()-C628,T628-C628))</f>
        <v/>
      </c>
      <c r="V628" s="5" t="n"/>
      <c r="W628" s="6" t="n"/>
      <c r="X628" s="3">
        <f>IF(P628="","",IFERROR(VLOOKUP(P628,Parâmetros!$J$2:$K$5,2,FALSE),""))</f>
        <v/>
      </c>
      <c r="Y628" s="4">
        <f>IF(OR(C628="",X628=""),"",C628+X628)</f>
        <v/>
      </c>
      <c r="Z628" s="5">
        <f>IF(C628="","",IF(Q628="Concluído","Concluído",IF(Y628&lt;TODAY(),"Vencido",IF(Y628-TODAY()&lt;=2,"A vencer","No prazo"))))</f>
        <v/>
      </c>
      <c r="AA628" s="3">
        <f>IF(OR(Y628="",Q628="Concluído"),"",Y628-TODAY())</f>
        <v/>
      </c>
      <c r="AB628" s="5" t="n"/>
      <c r="AC628" s="5" t="n"/>
      <c r="AD628" s="4" t="n"/>
    </row>
    <row r="629">
      <c r="A629" s="3">
        <f>IF(C629="","",ROW()-1)</f>
        <v/>
      </c>
      <c r="B629" s="4" t="n"/>
      <c r="C629" s="4" t="n"/>
      <c r="D629" s="5" t="n"/>
      <c r="E629" s="5" t="n"/>
      <c r="F629" s="5" t="n"/>
      <c r="G629" s="5" t="n"/>
      <c r="H629" s="5" t="n"/>
      <c r="I629" s="5" t="n"/>
      <c r="J629" s="5" t="n"/>
      <c r="K629" s="6" t="n"/>
      <c r="L629" s="6" t="n"/>
      <c r="M629" s="6" t="n"/>
      <c r="N629" s="5" t="n"/>
      <c r="O629" s="21" t="n"/>
      <c r="P629" s="5" t="n"/>
      <c r="Q629" s="5" t="n"/>
      <c r="R629" s="6" t="n"/>
      <c r="S629" s="4" t="n"/>
      <c r="T629" s="4" t="n"/>
      <c r="U629" s="3">
        <f>IF(C629="","",IF(T629="",TODAY()-C629,T629-C629))</f>
        <v/>
      </c>
      <c r="V629" s="5" t="n"/>
      <c r="W629" s="6" t="n"/>
      <c r="X629" s="3">
        <f>IF(P629="","",IFERROR(VLOOKUP(P629,Parâmetros!$J$2:$K$5,2,FALSE),""))</f>
        <v/>
      </c>
      <c r="Y629" s="4">
        <f>IF(OR(C629="",X629=""),"",C629+X629)</f>
        <v/>
      </c>
      <c r="Z629" s="5">
        <f>IF(C629="","",IF(Q629="Concluído","Concluído",IF(Y629&lt;TODAY(),"Vencido",IF(Y629-TODAY()&lt;=2,"A vencer","No prazo"))))</f>
        <v/>
      </c>
      <c r="AA629" s="3">
        <f>IF(OR(Y629="",Q629="Concluído"),"",Y629-TODAY())</f>
        <v/>
      </c>
      <c r="AB629" s="5" t="n"/>
      <c r="AC629" s="5" t="n"/>
      <c r="AD629" s="4" t="n"/>
    </row>
    <row r="630">
      <c r="A630" s="3">
        <f>IF(C630="","",ROW()-1)</f>
        <v/>
      </c>
      <c r="B630" s="4" t="n"/>
      <c r="C630" s="4" t="n"/>
      <c r="D630" s="5" t="n"/>
      <c r="E630" s="5" t="n"/>
      <c r="F630" s="5" t="n"/>
      <c r="G630" s="5" t="n"/>
      <c r="H630" s="5" t="n"/>
      <c r="I630" s="5" t="n"/>
      <c r="J630" s="5" t="n"/>
      <c r="K630" s="6" t="n"/>
      <c r="L630" s="6" t="n"/>
      <c r="M630" s="6" t="n"/>
      <c r="N630" s="5" t="n"/>
      <c r="O630" s="21" t="n"/>
      <c r="P630" s="5" t="n"/>
      <c r="Q630" s="5" t="n"/>
      <c r="R630" s="6" t="n"/>
      <c r="S630" s="4" t="n"/>
      <c r="T630" s="4" t="n"/>
      <c r="U630" s="3">
        <f>IF(C630="","",IF(T630="",TODAY()-C630,T630-C630))</f>
        <v/>
      </c>
      <c r="V630" s="5" t="n"/>
      <c r="W630" s="6" t="n"/>
      <c r="X630" s="3">
        <f>IF(P630="","",IFERROR(VLOOKUP(P630,Parâmetros!$J$2:$K$5,2,FALSE),""))</f>
        <v/>
      </c>
      <c r="Y630" s="4">
        <f>IF(OR(C630="",X630=""),"",C630+X630)</f>
        <v/>
      </c>
      <c r="Z630" s="5">
        <f>IF(C630="","",IF(Q630="Concluído","Concluído",IF(Y630&lt;TODAY(),"Vencido",IF(Y630-TODAY()&lt;=2,"A vencer","No prazo"))))</f>
        <v/>
      </c>
      <c r="AA630" s="3">
        <f>IF(OR(Y630="",Q630="Concluído"),"",Y630-TODAY())</f>
        <v/>
      </c>
      <c r="AB630" s="5" t="n"/>
      <c r="AC630" s="5" t="n"/>
      <c r="AD630" s="4" t="n"/>
    </row>
    <row r="631">
      <c r="A631" s="3">
        <f>IF(C631="","",ROW()-1)</f>
        <v/>
      </c>
      <c r="B631" s="4" t="n"/>
      <c r="C631" s="4" t="n"/>
      <c r="D631" s="5" t="n"/>
      <c r="E631" s="5" t="n"/>
      <c r="F631" s="5" t="n"/>
      <c r="G631" s="5" t="n"/>
      <c r="H631" s="5" t="n"/>
      <c r="I631" s="5" t="n"/>
      <c r="J631" s="5" t="n"/>
      <c r="K631" s="6" t="n"/>
      <c r="L631" s="6" t="n"/>
      <c r="M631" s="6" t="n"/>
      <c r="N631" s="5" t="n"/>
      <c r="O631" s="21" t="n"/>
      <c r="P631" s="5" t="n"/>
      <c r="Q631" s="5" t="n"/>
      <c r="R631" s="6" t="n"/>
      <c r="S631" s="4" t="n"/>
      <c r="T631" s="4" t="n"/>
      <c r="U631" s="3">
        <f>IF(C631="","",IF(T631="",TODAY()-C631,T631-C631))</f>
        <v/>
      </c>
      <c r="V631" s="5" t="n"/>
      <c r="W631" s="6" t="n"/>
      <c r="X631" s="3">
        <f>IF(P631="","",IFERROR(VLOOKUP(P631,Parâmetros!$J$2:$K$5,2,FALSE),""))</f>
        <v/>
      </c>
      <c r="Y631" s="4">
        <f>IF(OR(C631="",X631=""),"",C631+X631)</f>
        <v/>
      </c>
      <c r="Z631" s="5">
        <f>IF(C631="","",IF(Q631="Concluído","Concluído",IF(Y631&lt;TODAY(),"Vencido",IF(Y631-TODAY()&lt;=2,"A vencer","No prazo"))))</f>
        <v/>
      </c>
      <c r="AA631" s="3">
        <f>IF(OR(Y631="",Q631="Concluído"),"",Y631-TODAY())</f>
        <v/>
      </c>
      <c r="AB631" s="5" t="n"/>
      <c r="AC631" s="5" t="n"/>
      <c r="AD631" s="4" t="n"/>
    </row>
    <row r="632">
      <c r="A632" s="3">
        <f>IF(C632="","",ROW()-1)</f>
        <v/>
      </c>
      <c r="B632" s="4" t="n"/>
      <c r="C632" s="4" t="n"/>
      <c r="D632" s="5" t="n"/>
      <c r="E632" s="5" t="n"/>
      <c r="F632" s="5" t="n"/>
      <c r="G632" s="5" t="n"/>
      <c r="H632" s="5" t="n"/>
      <c r="I632" s="5" t="n"/>
      <c r="J632" s="5" t="n"/>
      <c r="K632" s="6" t="n"/>
      <c r="L632" s="6" t="n"/>
      <c r="M632" s="6" t="n"/>
      <c r="N632" s="5" t="n"/>
      <c r="O632" s="21" t="n"/>
      <c r="P632" s="5" t="n"/>
      <c r="Q632" s="5" t="n"/>
      <c r="R632" s="6" t="n"/>
      <c r="S632" s="4" t="n"/>
      <c r="T632" s="4" t="n"/>
      <c r="U632" s="3">
        <f>IF(C632="","",IF(T632="",TODAY()-C632,T632-C632))</f>
        <v/>
      </c>
      <c r="V632" s="5" t="n"/>
      <c r="W632" s="6" t="n"/>
      <c r="X632" s="3">
        <f>IF(P632="","",IFERROR(VLOOKUP(P632,Parâmetros!$J$2:$K$5,2,FALSE),""))</f>
        <v/>
      </c>
      <c r="Y632" s="4">
        <f>IF(OR(C632="",X632=""),"",C632+X632)</f>
        <v/>
      </c>
      <c r="Z632" s="5">
        <f>IF(C632="","",IF(Q632="Concluído","Concluído",IF(Y632&lt;TODAY(),"Vencido",IF(Y632-TODAY()&lt;=2,"A vencer","No prazo"))))</f>
        <v/>
      </c>
      <c r="AA632" s="3">
        <f>IF(OR(Y632="",Q632="Concluído"),"",Y632-TODAY())</f>
        <v/>
      </c>
      <c r="AB632" s="5" t="n"/>
      <c r="AC632" s="5" t="n"/>
      <c r="AD632" s="4" t="n"/>
    </row>
    <row r="633">
      <c r="A633" s="3">
        <f>IF(C633="","",ROW()-1)</f>
        <v/>
      </c>
      <c r="B633" s="4" t="n"/>
      <c r="C633" s="4" t="n"/>
      <c r="D633" s="5" t="n"/>
      <c r="E633" s="5" t="n"/>
      <c r="F633" s="5" t="n"/>
      <c r="G633" s="5" t="n"/>
      <c r="H633" s="5" t="n"/>
      <c r="I633" s="5" t="n"/>
      <c r="J633" s="5" t="n"/>
      <c r="K633" s="6" t="n"/>
      <c r="L633" s="6" t="n"/>
      <c r="M633" s="6" t="n"/>
      <c r="N633" s="5" t="n"/>
      <c r="O633" s="21" t="n"/>
      <c r="P633" s="5" t="n"/>
      <c r="Q633" s="5" t="n"/>
      <c r="R633" s="6" t="n"/>
      <c r="S633" s="4" t="n"/>
      <c r="T633" s="4" t="n"/>
      <c r="U633" s="3">
        <f>IF(C633="","",IF(T633="",TODAY()-C633,T633-C633))</f>
        <v/>
      </c>
      <c r="V633" s="5" t="n"/>
      <c r="W633" s="6" t="n"/>
      <c r="X633" s="3">
        <f>IF(P633="","",IFERROR(VLOOKUP(P633,Parâmetros!$J$2:$K$5,2,FALSE),""))</f>
        <v/>
      </c>
      <c r="Y633" s="4">
        <f>IF(OR(C633="",X633=""),"",C633+X633)</f>
        <v/>
      </c>
      <c r="Z633" s="5">
        <f>IF(C633="","",IF(Q633="Concluído","Concluído",IF(Y633&lt;TODAY(),"Vencido",IF(Y633-TODAY()&lt;=2,"A vencer","No prazo"))))</f>
        <v/>
      </c>
      <c r="AA633" s="3">
        <f>IF(OR(Y633="",Q633="Concluído"),"",Y633-TODAY())</f>
        <v/>
      </c>
      <c r="AB633" s="5" t="n"/>
      <c r="AC633" s="5" t="n"/>
      <c r="AD633" s="4" t="n"/>
    </row>
    <row r="634">
      <c r="A634" s="3">
        <f>IF(C634="","",ROW()-1)</f>
        <v/>
      </c>
      <c r="B634" s="4" t="n"/>
      <c r="C634" s="4" t="n"/>
      <c r="D634" s="5" t="n"/>
      <c r="E634" s="5" t="n"/>
      <c r="F634" s="5" t="n"/>
      <c r="G634" s="5" t="n"/>
      <c r="H634" s="5" t="n"/>
      <c r="I634" s="5" t="n"/>
      <c r="J634" s="5" t="n"/>
      <c r="K634" s="6" t="n"/>
      <c r="L634" s="6" t="n"/>
      <c r="M634" s="6" t="n"/>
      <c r="N634" s="5" t="n"/>
      <c r="O634" s="21" t="n"/>
      <c r="P634" s="5" t="n"/>
      <c r="Q634" s="5" t="n"/>
      <c r="R634" s="6" t="n"/>
      <c r="S634" s="4" t="n"/>
      <c r="T634" s="4" t="n"/>
      <c r="U634" s="3">
        <f>IF(C634="","",IF(T634="",TODAY()-C634,T634-C634))</f>
        <v/>
      </c>
      <c r="V634" s="5" t="n"/>
      <c r="W634" s="6" t="n"/>
      <c r="X634" s="3">
        <f>IF(P634="","",IFERROR(VLOOKUP(P634,Parâmetros!$J$2:$K$5,2,FALSE),""))</f>
        <v/>
      </c>
      <c r="Y634" s="4">
        <f>IF(OR(C634="",X634=""),"",C634+X634)</f>
        <v/>
      </c>
      <c r="Z634" s="5">
        <f>IF(C634="","",IF(Q634="Concluído","Concluído",IF(Y634&lt;TODAY(),"Vencido",IF(Y634-TODAY()&lt;=2,"A vencer","No prazo"))))</f>
        <v/>
      </c>
      <c r="AA634" s="3">
        <f>IF(OR(Y634="",Q634="Concluído"),"",Y634-TODAY())</f>
        <v/>
      </c>
      <c r="AB634" s="5" t="n"/>
      <c r="AC634" s="5" t="n"/>
      <c r="AD634" s="4" t="n"/>
    </row>
    <row r="635">
      <c r="A635" s="3">
        <f>IF(C635="","",ROW()-1)</f>
        <v/>
      </c>
      <c r="B635" s="4" t="n"/>
      <c r="C635" s="4" t="n"/>
      <c r="D635" s="5" t="n"/>
      <c r="E635" s="5" t="n"/>
      <c r="F635" s="5" t="n"/>
      <c r="G635" s="5" t="n"/>
      <c r="H635" s="5" t="n"/>
      <c r="I635" s="5" t="n"/>
      <c r="J635" s="5" t="n"/>
      <c r="K635" s="6" t="n"/>
      <c r="L635" s="6" t="n"/>
      <c r="M635" s="6" t="n"/>
      <c r="N635" s="5" t="n"/>
      <c r="O635" s="21" t="n"/>
      <c r="P635" s="5" t="n"/>
      <c r="Q635" s="5" t="n"/>
      <c r="R635" s="6" t="n"/>
      <c r="S635" s="4" t="n"/>
      <c r="T635" s="4" t="n"/>
      <c r="U635" s="3">
        <f>IF(C635="","",IF(T635="",TODAY()-C635,T635-C635))</f>
        <v/>
      </c>
      <c r="V635" s="5" t="n"/>
      <c r="W635" s="6" t="n"/>
      <c r="X635" s="3">
        <f>IF(P635="","",IFERROR(VLOOKUP(P635,Parâmetros!$J$2:$K$5,2,FALSE),""))</f>
        <v/>
      </c>
      <c r="Y635" s="4">
        <f>IF(OR(C635="",X635=""),"",C635+X635)</f>
        <v/>
      </c>
      <c r="Z635" s="5">
        <f>IF(C635="","",IF(Q635="Concluído","Concluído",IF(Y635&lt;TODAY(),"Vencido",IF(Y635-TODAY()&lt;=2,"A vencer","No prazo"))))</f>
        <v/>
      </c>
      <c r="AA635" s="3">
        <f>IF(OR(Y635="",Q635="Concluído"),"",Y635-TODAY())</f>
        <v/>
      </c>
      <c r="AB635" s="5" t="n"/>
      <c r="AC635" s="5" t="n"/>
      <c r="AD635" s="4" t="n"/>
    </row>
    <row r="636">
      <c r="A636" s="3">
        <f>IF(C636="","",ROW()-1)</f>
        <v/>
      </c>
      <c r="B636" s="4" t="n"/>
      <c r="C636" s="4" t="n"/>
      <c r="D636" s="5" t="n"/>
      <c r="E636" s="5" t="n"/>
      <c r="F636" s="5" t="n"/>
      <c r="G636" s="5" t="n"/>
      <c r="H636" s="5" t="n"/>
      <c r="I636" s="5" t="n"/>
      <c r="J636" s="5" t="n"/>
      <c r="K636" s="6" t="n"/>
      <c r="L636" s="6" t="n"/>
      <c r="M636" s="6" t="n"/>
      <c r="N636" s="5" t="n"/>
      <c r="O636" s="21" t="n"/>
      <c r="P636" s="5" t="n"/>
      <c r="Q636" s="5" t="n"/>
      <c r="R636" s="6" t="n"/>
      <c r="S636" s="4" t="n"/>
      <c r="T636" s="4" t="n"/>
      <c r="U636" s="3">
        <f>IF(C636="","",IF(T636="",TODAY()-C636,T636-C636))</f>
        <v/>
      </c>
      <c r="V636" s="5" t="n"/>
      <c r="W636" s="6" t="n"/>
      <c r="X636" s="3">
        <f>IF(P636="","",IFERROR(VLOOKUP(P636,Parâmetros!$J$2:$K$5,2,FALSE),""))</f>
        <v/>
      </c>
      <c r="Y636" s="4">
        <f>IF(OR(C636="",X636=""),"",C636+X636)</f>
        <v/>
      </c>
      <c r="Z636" s="5">
        <f>IF(C636="","",IF(Q636="Concluído","Concluído",IF(Y636&lt;TODAY(),"Vencido",IF(Y636-TODAY()&lt;=2,"A vencer","No prazo"))))</f>
        <v/>
      </c>
      <c r="AA636" s="3">
        <f>IF(OR(Y636="",Q636="Concluído"),"",Y636-TODAY())</f>
        <v/>
      </c>
      <c r="AB636" s="5" t="n"/>
      <c r="AC636" s="5" t="n"/>
      <c r="AD636" s="4" t="n"/>
    </row>
    <row r="637">
      <c r="A637" s="3">
        <f>IF(C637="","",ROW()-1)</f>
        <v/>
      </c>
      <c r="B637" s="4" t="n"/>
      <c r="C637" s="4" t="n"/>
      <c r="D637" s="5" t="n"/>
      <c r="E637" s="5" t="n"/>
      <c r="F637" s="5" t="n"/>
      <c r="G637" s="5" t="n"/>
      <c r="H637" s="5" t="n"/>
      <c r="I637" s="5" t="n"/>
      <c r="J637" s="5" t="n"/>
      <c r="K637" s="6" t="n"/>
      <c r="L637" s="6" t="n"/>
      <c r="M637" s="6" t="n"/>
      <c r="N637" s="5" t="n"/>
      <c r="O637" s="21" t="n"/>
      <c r="P637" s="5" t="n"/>
      <c r="Q637" s="5" t="n"/>
      <c r="R637" s="6" t="n"/>
      <c r="S637" s="4" t="n"/>
      <c r="T637" s="4" t="n"/>
      <c r="U637" s="3">
        <f>IF(C637="","",IF(T637="",TODAY()-C637,T637-C637))</f>
        <v/>
      </c>
      <c r="V637" s="5" t="n"/>
      <c r="W637" s="6" t="n"/>
      <c r="X637" s="3">
        <f>IF(P637="","",IFERROR(VLOOKUP(P637,Parâmetros!$J$2:$K$5,2,FALSE),""))</f>
        <v/>
      </c>
      <c r="Y637" s="4">
        <f>IF(OR(C637="",X637=""),"",C637+X637)</f>
        <v/>
      </c>
      <c r="Z637" s="5">
        <f>IF(C637="","",IF(Q637="Concluído","Concluído",IF(Y637&lt;TODAY(),"Vencido",IF(Y637-TODAY()&lt;=2,"A vencer","No prazo"))))</f>
        <v/>
      </c>
      <c r="AA637" s="3">
        <f>IF(OR(Y637="",Q637="Concluído"),"",Y637-TODAY())</f>
        <v/>
      </c>
      <c r="AB637" s="5" t="n"/>
      <c r="AC637" s="5" t="n"/>
      <c r="AD637" s="4" t="n"/>
    </row>
    <row r="638">
      <c r="A638" s="3">
        <f>IF(C638="","",ROW()-1)</f>
        <v/>
      </c>
      <c r="B638" s="4" t="n"/>
      <c r="C638" s="4" t="n"/>
      <c r="D638" s="5" t="n"/>
      <c r="E638" s="5" t="n"/>
      <c r="F638" s="5" t="n"/>
      <c r="G638" s="5" t="n"/>
      <c r="H638" s="5" t="n"/>
      <c r="I638" s="5" t="n"/>
      <c r="J638" s="5" t="n"/>
      <c r="K638" s="6" t="n"/>
      <c r="L638" s="6" t="n"/>
      <c r="M638" s="6" t="n"/>
      <c r="N638" s="5" t="n"/>
      <c r="O638" s="21" t="n"/>
      <c r="P638" s="5" t="n"/>
      <c r="Q638" s="5" t="n"/>
      <c r="R638" s="6" t="n"/>
      <c r="S638" s="4" t="n"/>
      <c r="T638" s="4" t="n"/>
      <c r="U638" s="3">
        <f>IF(C638="","",IF(T638="",TODAY()-C638,T638-C638))</f>
        <v/>
      </c>
      <c r="V638" s="5" t="n"/>
      <c r="W638" s="6" t="n"/>
      <c r="X638" s="3">
        <f>IF(P638="","",IFERROR(VLOOKUP(P638,Parâmetros!$J$2:$K$5,2,FALSE),""))</f>
        <v/>
      </c>
      <c r="Y638" s="4">
        <f>IF(OR(C638="",X638=""),"",C638+X638)</f>
        <v/>
      </c>
      <c r="Z638" s="5">
        <f>IF(C638="","",IF(Q638="Concluído","Concluído",IF(Y638&lt;TODAY(),"Vencido",IF(Y638-TODAY()&lt;=2,"A vencer","No prazo"))))</f>
        <v/>
      </c>
      <c r="AA638" s="3">
        <f>IF(OR(Y638="",Q638="Concluído"),"",Y638-TODAY())</f>
        <v/>
      </c>
      <c r="AB638" s="5" t="n"/>
      <c r="AC638" s="5" t="n"/>
      <c r="AD638" s="4" t="n"/>
    </row>
    <row r="639">
      <c r="A639" s="3">
        <f>IF(C639="","",ROW()-1)</f>
        <v/>
      </c>
      <c r="B639" s="4" t="n"/>
      <c r="C639" s="4" t="n"/>
      <c r="D639" s="5" t="n"/>
      <c r="E639" s="5" t="n"/>
      <c r="F639" s="5" t="n"/>
      <c r="G639" s="5" t="n"/>
      <c r="H639" s="5" t="n"/>
      <c r="I639" s="5" t="n"/>
      <c r="J639" s="5" t="n"/>
      <c r="K639" s="6" t="n"/>
      <c r="L639" s="6" t="n"/>
      <c r="M639" s="6" t="n"/>
      <c r="N639" s="5" t="n"/>
      <c r="O639" s="21" t="n"/>
      <c r="P639" s="5" t="n"/>
      <c r="Q639" s="5" t="n"/>
      <c r="R639" s="6" t="n"/>
      <c r="S639" s="4" t="n"/>
      <c r="T639" s="4" t="n"/>
      <c r="U639" s="3">
        <f>IF(C639="","",IF(T639="",TODAY()-C639,T639-C639))</f>
        <v/>
      </c>
      <c r="V639" s="5" t="n"/>
      <c r="W639" s="6" t="n"/>
      <c r="X639" s="3">
        <f>IF(P639="","",IFERROR(VLOOKUP(P639,Parâmetros!$J$2:$K$5,2,FALSE),""))</f>
        <v/>
      </c>
      <c r="Y639" s="4">
        <f>IF(OR(C639="",X639=""),"",C639+X639)</f>
        <v/>
      </c>
      <c r="Z639" s="5">
        <f>IF(C639="","",IF(Q639="Concluído","Concluído",IF(Y639&lt;TODAY(),"Vencido",IF(Y639-TODAY()&lt;=2,"A vencer","No prazo"))))</f>
        <v/>
      </c>
      <c r="AA639" s="3">
        <f>IF(OR(Y639="",Q639="Concluído"),"",Y639-TODAY())</f>
        <v/>
      </c>
      <c r="AB639" s="5" t="n"/>
      <c r="AC639" s="5" t="n"/>
      <c r="AD639" s="4" t="n"/>
    </row>
    <row r="640">
      <c r="A640" s="3">
        <f>IF(C640="","",ROW()-1)</f>
        <v/>
      </c>
      <c r="B640" s="4" t="n"/>
      <c r="C640" s="4" t="n"/>
      <c r="D640" s="5" t="n"/>
      <c r="E640" s="5" t="n"/>
      <c r="F640" s="5" t="n"/>
      <c r="G640" s="5" t="n"/>
      <c r="H640" s="5" t="n"/>
      <c r="I640" s="5" t="n"/>
      <c r="J640" s="5" t="n"/>
      <c r="K640" s="6" t="n"/>
      <c r="L640" s="6" t="n"/>
      <c r="M640" s="6" t="n"/>
      <c r="N640" s="5" t="n"/>
      <c r="O640" s="21" t="n"/>
      <c r="P640" s="5" t="n"/>
      <c r="Q640" s="5" t="n"/>
      <c r="R640" s="6" t="n"/>
      <c r="S640" s="4" t="n"/>
      <c r="T640" s="4" t="n"/>
      <c r="U640" s="3">
        <f>IF(C640="","",IF(T640="",TODAY()-C640,T640-C640))</f>
        <v/>
      </c>
      <c r="V640" s="5" t="n"/>
      <c r="W640" s="6" t="n"/>
      <c r="X640" s="3">
        <f>IF(P640="","",IFERROR(VLOOKUP(P640,Parâmetros!$J$2:$K$5,2,FALSE),""))</f>
        <v/>
      </c>
      <c r="Y640" s="4">
        <f>IF(OR(C640="",X640=""),"",C640+X640)</f>
        <v/>
      </c>
      <c r="Z640" s="5">
        <f>IF(C640="","",IF(Q640="Concluído","Concluído",IF(Y640&lt;TODAY(),"Vencido",IF(Y640-TODAY()&lt;=2,"A vencer","No prazo"))))</f>
        <v/>
      </c>
      <c r="AA640" s="3">
        <f>IF(OR(Y640="",Q640="Concluído"),"",Y640-TODAY())</f>
        <v/>
      </c>
      <c r="AB640" s="5" t="n"/>
      <c r="AC640" s="5" t="n"/>
      <c r="AD640" s="4" t="n"/>
    </row>
    <row r="641">
      <c r="A641" s="3">
        <f>IF(C641="","",ROW()-1)</f>
        <v/>
      </c>
      <c r="B641" s="4" t="n"/>
      <c r="C641" s="4" t="n"/>
      <c r="D641" s="5" t="n"/>
      <c r="E641" s="5" t="n"/>
      <c r="F641" s="5" t="n"/>
      <c r="G641" s="5" t="n"/>
      <c r="H641" s="5" t="n"/>
      <c r="I641" s="5" t="n"/>
      <c r="J641" s="5" t="n"/>
      <c r="K641" s="6" t="n"/>
      <c r="L641" s="6" t="n"/>
      <c r="M641" s="6" t="n"/>
      <c r="N641" s="5" t="n"/>
      <c r="O641" s="21" t="n"/>
      <c r="P641" s="5" t="n"/>
      <c r="Q641" s="5" t="n"/>
      <c r="R641" s="6" t="n"/>
      <c r="S641" s="4" t="n"/>
      <c r="T641" s="4" t="n"/>
      <c r="U641" s="3">
        <f>IF(C641="","",IF(T641="",TODAY()-C641,T641-C641))</f>
        <v/>
      </c>
      <c r="V641" s="5" t="n"/>
      <c r="W641" s="6" t="n"/>
      <c r="X641" s="3">
        <f>IF(P641="","",IFERROR(VLOOKUP(P641,Parâmetros!$J$2:$K$5,2,FALSE),""))</f>
        <v/>
      </c>
      <c r="Y641" s="4">
        <f>IF(OR(C641="",X641=""),"",C641+X641)</f>
        <v/>
      </c>
      <c r="Z641" s="5">
        <f>IF(C641="","",IF(Q641="Concluído","Concluído",IF(Y641&lt;TODAY(),"Vencido",IF(Y641-TODAY()&lt;=2,"A vencer","No prazo"))))</f>
        <v/>
      </c>
      <c r="AA641" s="3">
        <f>IF(OR(Y641="",Q641="Concluído"),"",Y641-TODAY())</f>
        <v/>
      </c>
      <c r="AB641" s="5" t="n"/>
      <c r="AC641" s="5" t="n"/>
      <c r="AD641" s="4" t="n"/>
    </row>
    <row r="642">
      <c r="A642" s="3">
        <f>IF(C642="","",ROW()-1)</f>
        <v/>
      </c>
      <c r="B642" s="4" t="n"/>
      <c r="C642" s="4" t="n"/>
      <c r="D642" s="5" t="n"/>
      <c r="E642" s="5" t="n"/>
      <c r="F642" s="5" t="n"/>
      <c r="G642" s="5" t="n"/>
      <c r="H642" s="5" t="n"/>
      <c r="I642" s="5" t="n"/>
      <c r="J642" s="5" t="n"/>
      <c r="K642" s="6" t="n"/>
      <c r="L642" s="6" t="n"/>
      <c r="M642" s="6" t="n"/>
      <c r="N642" s="5" t="n"/>
      <c r="O642" s="21" t="n"/>
      <c r="P642" s="5" t="n"/>
      <c r="Q642" s="5" t="n"/>
      <c r="R642" s="6" t="n"/>
      <c r="S642" s="4" t="n"/>
      <c r="T642" s="4" t="n"/>
      <c r="U642" s="3">
        <f>IF(C642="","",IF(T642="",TODAY()-C642,T642-C642))</f>
        <v/>
      </c>
      <c r="V642" s="5" t="n"/>
      <c r="W642" s="6" t="n"/>
      <c r="X642" s="3">
        <f>IF(P642="","",IFERROR(VLOOKUP(P642,Parâmetros!$J$2:$K$5,2,FALSE),""))</f>
        <v/>
      </c>
      <c r="Y642" s="4">
        <f>IF(OR(C642="",X642=""),"",C642+X642)</f>
        <v/>
      </c>
      <c r="Z642" s="5">
        <f>IF(C642="","",IF(Q642="Concluído","Concluído",IF(Y642&lt;TODAY(),"Vencido",IF(Y642-TODAY()&lt;=2,"A vencer","No prazo"))))</f>
        <v/>
      </c>
      <c r="AA642" s="3">
        <f>IF(OR(Y642="",Q642="Concluído"),"",Y642-TODAY())</f>
        <v/>
      </c>
      <c r="AB642" s="5" t="n"/>
      <c r="AC642" s="5" t="n"/>
      <c r="AD642" s="4" t="n"/>
    </row>
    <row r="643">
      <c r="A643" s="3">
        <f>IF(C643="","",ROW()-1)</f>
        <v/>
      </c>
      <c r="B643" s="4" t="n"/>
      <c r="C643" s="4" t="n"/>
      <c r="D643" s="5" t="n"/>
      <c r="E643" s="5" t="n"/>
      <c r="F643" s="5" t="n"/>
      <c r="G643" s="5" t="n"/>
      <c r="H643" s="5" t="n"/>
      <c r="I643" s="5" t="n"/>
      <c r="J643" s="5" t="n"/>
      <c r="K643" s="6" t="n"/>
      <c r="L643" s="6" t="n"/>
      <c r="M643" s="6" t="n"/>
      <c r="N643" s="5" t="n"/>
      <c r="O643" s="21" t="n"/>
      <c r="P643" s="5" t="n"/>
      <c r="Q643" s="5" t="n"/>
      <c r="R643" s="6" t="n"/>
      <c r="S643" s="4" t="n"/>
      <c r="T643" s="4" t="n"/>
      <c r="U643" s="3">
        <f>IF(C643="","",IF(T643="",TODAY()-C643,T643-C643))</f>
        <v/>
      </c>
      <c r="V643" s="5" t="n"/>
      <c r="W643" s="6" t="n"/>
      <c r="X643" s="3">
        <f>IF(P643="","",IFERROR(VLOOKUP(P643,Parâmetros!$J$2:$K$5,2,FALSE),""))</f>
        <v/>
      </c>
      <c r="Y643" s="4">
        <f>IF(OR(C643="",X643=""),"",C643+X643)</f>
        <v/>
      </c>
      <c r="Z643" s="5">
        <f>IF(C643="","",IF(Q643="Concluído","Concluído",IF(Y643&lt;TODAY(),"Vencido",IF(Y643-TODAY()&lt;=2,"A vencer","No prazo"))))</f>
        <v/>
      </c>
      <c r="AA643" s="3">
        <f>IF(OR(Y643="",Q643="Concluído"),"",Y643-TODAY())</f>
        <v/>
      </c>
      <c r="AB643" s="5" t="n"/>
      <c r="AC643" s="5" t="n"/>
      <c r="AD643" s="4" t="n"/>
    </row>
    <row r="644">
      <c r="A644" s="3">
        <f>IF(C644="","",ROW()-1)</f>
        <v/>
      </c>
      <c r="B644" s="4" t="n"/>
      <c r="C644" s="4" t="n"/>
      <c r="D644" s="5" t="n"/>
      <c r="E644" s="5" t="n"/>
      <c r="F644" s="5" t="n"/>
      <c r="G644" s="5" t="n"/>
      <c r="H644" s="5" t="n"/>
      <c r="I644" s="5" t="n"/>
      <c r="J644" s="5" t="n"/>
      <c r="K644" s="6" t="n"/>
      <c r="L644" s="6" t="n"/>
      <c r="M644" s="6" t="n"/>
      <c r="N644" s="5" t="n"/>
      <c r="O644" s="21" t="n"/>
      <c r="P644" s="5" t="n"/>
      <c r="Q644" s="5" t="n"/>
      <c r="R644" s="6" t="n"/>
      <c r="S644" s="4" t="n"/>
      <c r="T644" s="4" t="n"/>
      <c r="U644" s="3">
        <f>IF(C644="","",IF(T644="",TODAY()-C644,T644-C644))</f>
        <v/>
      </c>
      <c r="V644" s="5" t="n"/>
      <c r="W644" s="6" t="n"/>
      <c r="X644" s="3">
        <f>IF(P644="","",IFERROR(VLOOKUP(P644,Parâmetros!$J$2:$K$5,2,FALSE),""))</f>
        <v/>
      </c>
      <c r="Y644" s="4">
        <f>IF(OR(C644="",X644=""),"",C644+X644)</f>
        <v/>
      </c>
      <c r="Z644" s="5">
        <f>IF(C644="","",IF(Q644="Concluído","Concluído",IF(Y644&lt;TODAY(),"Vencido",IF(Y644-TODAY()&lt;=2,"A vencer","No prazo"))))</f>
        <v/>
      </c>
      <c r="AA644" s="3">
        <f>IF(OR(Y644="",Q644="Concluído"),"",Y644-TODAY())</f>
        <v/>
      </c>
      <c r="AB644" s="5" t="n"/>
      <c r="AC644" s="5" t="n"/>
      <c r="AD644" s="4" t="n"/>
    </row>
    <row r="645">
      <c r="A645" s="3">
        <f>IF(C645="","",ROW()-1)</f>
        <v/>
      </c>
      <c r="B645" s="4" t="n"/>
      <c r="C645" s="4" t="n"/>
      <c r="D645" s="5" t="n"/>
      <c r="E645" s="5" t="n"/>
      <c r="F645" s="5" t="n"/>
      <c r="G645" s="5" t="n"/>
      <c r="H645" s="5" t="n"/>
      <c r="I645" s="5" t="n"/>
      <c r="J645" s="5" t="n"/>
      <c r="K645" s="6" t="n"/>
      <c r="L645" s="6" t="n"/>
      <c r="M645" s="6" t="n"/>
      <c r="N645" s="5" t="n"/>
      <c r="O645" s="21" t="n"/>
      <c r="P645" s="5" t="n"/>
      <c r="Q645" s="5" t="n"/>
      <c r="R645" s="6" t="n"/>
      <c r="S645" s="4" t="n"/>
      <c r="T645" s="4" t="n"/>
      <c r="U645" s="3">
        <f>IF(C645="","",IF(T645="",TODAY()-C645,T645-C645))</f>
        <v/>
      </c>
      <c r="V645" s="5" t="n"/>
      <c r="W645" s="6" t="n"/>
      <c r="X645" s="3">
        <f>IF(P645="","",IFERROR(VLOOKUP(P645,Parâmetros!$J$2:$K$5,2,FALSE),""))</f>
        <v/>
      </c>
      <c r="Y645" s="4">
        <f>IF(OR(C645="",X645=""),"",C645+X645)</f>
        <v/>
      </c>
      <c r="Z645" s="5">
        <f>IF(C645="","",IF(Q645="Concluído","Concluído",IF(Y645&lt;TODAY(),"Vencido",IF(Y645-TODAY()&lt;=2,"A vencer","No prazo"))))</f>
        <v/>
      </c>
      <c r="AA645" s="3">
        <f>IF(OR(Y645="",Q645="Concluído"),"",Y645-TODAY())</f>
        <v/>
      </c>
      <c r="AB645" s="5" t="n"/>
      <c r="AC645" s="5" t="n"/>
      <c r="AD645" s="4" t="n"/>
    </row>
    <row r="646">
      <c r="A646" s="3">
        <f>IF(C646="","",ROW()-1)</f>
        <v/>
      </c>
      <c r="B646" s="4" t="n"/>
      <c r="C646" s="4" t="n"/>
      <c r="D646" s="5" t="n"/>
      <c r="E646" s="5" t="n"/>
      <c r="F646" s="5" t="n"/>
      <c r="G646" s="5" t="n"/>
      <c r="H646" s="5" t="n"/>
      <c r="I646" s="5" t="n"/>
      <c r="J646" s="5" t="n"/>
      <c r="K646" s="6" t="n"/>
      <c r="L646" s="6" t="n"/>
      <c r="M646" s="6" t="n"/>
      <c r="N646" s="5" t="n"/>
      <c r="O646" s="21" t="n"/>
      <c r="P646" s="5" t="n"/>
      <c r="Q646" s="5" t="n"/>
      <c r="R646" s="6" t="n"/>
      <c r="S646" s="4" t="n"/>
      <c r="T646" s="4" t="n"/>
      <c r="U646" s="3">
        <f>IF(C646="","",IF(T646="",TODAY()-C646,T646-C646))</f>
        <v/>
      </c>
      <c r="V646" s="5" t="n"/>
      <c r="W646" s="6" t="n"/>
      <c r="X646" s="3">
        <f>IF(P646="","",IFERROR(VLOOKUP(P646,Parâmetros!$J$2:$K$5,2,FALSE),""))</f>
        <v/>
      </c>
      <c r="Y646" s="4">
        <f>IF(OR(C646="",X646=""),"",C646+X646)</f>
        <v/>
      </c>
      <c r="Z646" s="5">
        <f>IF(C646="","",IF(Q646="Concluído","Concluído",IF(Y646&lt;TODAY(),"Vencido",IF(Y646-TODAY()&lt;=2,"A vencer","No prazo"))))</f>
        <v/>
      </c>
      <c r="AA646" s="3">
        <f>IF(OR(Y646="",Q646="Concluído"),"",Y646-TODAY())</f>
        <v/>
      </c>
      <c r="AB646" s="5" t="n"/>
      <c r="AC646" s="5" t="n"/>
      <c r="AD646" s="4" t="n"/>
    </row>
    <row r="647">
      <c r="A647" s="3">
        <f>IF(C647="","",ROW()-1)</f>
        <v/>
      </c>
      <c r="B647" s="4" t="n"/>
      <c r="C647" s="4" t="n"/>
      <c r="D647" s="5" t="n"/>
      <c r="E647" s="5" t="n"/>
      <c r="F647" s="5" t="n"/>
      <c r="G647" s="5" t="n"/>
      <c r="H647" s="5" t="n"/>
      <c r="I647" s="5" t="n"/>
      <c r="J647" s="5" t="n"/>
      <c r="K647" s="6" t="n"/>
      <c r="L647" s="6" t="n"/>
      <c r="M647" s="6" t="n"/>
      <c r="N647" s="5" t="n"/>
      <c r="O647" s="21" t="n"/>
      <c r="P647" s="5" t="n"/>
      <c r="Q647" s="5" t="n"/>
      <c r="R647" s="6" t="n"/>
      <c r="S647" s="4" t="n"/>
      <c r="T647" s="4" t="n"/>
      <c r="U647" s="3">
        <f>IF(C647="","",IF(T647="",TODAY()-C647,T647-C647))</f>
        <v/>
      </c>
      <c r="V647" s="5" t="n"/>
      <c r="W647" s="6" t="n"/>
      <c r="X647" s="3">
        <f>IF(P647="","",IFERROR(VLOOKUP(P647,Parâmetros!$J$2:$K$5,2,FALSE),""))</f>
        <v/>
      </c>
      <c r="Y647" s="4">
        <f>IF(OR(C647="",X647=""),"",C647+X647)</f>
        <v/>
      </c>
      <c r="Z647" s="5">
        <f>IF(C647="","",IF(Q647="Concluído","Concluído",IF(Y647&lt;TODAY(),"Vencido",IF(Y647-TODAY()&lt;=2,"A vencer","No prazo"))))</f>
        <v/>
      </c>
      <c r="AA647" s="3">
        <f>IF(OR(Y647="",Q647="Concluído"),"",Y647-TODAY())</f>
        <v/>
      </c>
      <c r="AB647" s="5" t="n"/>
      <c r="AC647" s="5" t="n"/>
      <c r="AD647" s="4" t="n"/>
    </row>
    <row r="648">
      <c r="A648" s="3">
        <f>IF(C648="","",ROW()-1)</f>
        <v/>
      </c>
      <c r="B648" s="4" t="n"/>
      <c r="C648" s="4" t="n"/>
      <c r="D648" s="5" t="n"/>
      <c r="E648" s="5" t="n"/>
      <c r="F648" s="5" t="n"/>
      <c r="G648" s="5" t="n"/>
      <c r="H648" s="5" t="n"/>
      <c r="I648" s="5" t="n"/>
      <c r="J648" s="5" t="n"/>
      <c r="K648" s="6" t="n"/>
      <c r="L648" s="6" t="n"/>
      <c r="M648" s="6" t="n"/>
      <c r="N648" s="5" t="n"/>
      <c r="O648" s="21" t="n"/>
      <c r="P648" s="5" t="n"/>
      <c r="Q648" s="5" t="n"/>
      <c r="R648" s="6" t="n"/>
      <c r="S648" s="4" t="n"/>
      <c r="T648" s="4" t="n"/>
      <c r="U648" s="3">
        <f>IF(C648="","",IF(T648="",TODAY()-C648,T648-C648))</f>
        <v/>
      </c>
      <c r="V648" s="5" t="n"/>
      <c r="W648" s="6" t="n"/>
      <c r="X648" s="3">
        <f>IF(P648="","",IFERROR(VLOOKUP(P648,Parâmetros!$J$2:$K$5,2,FALSE),""))</f>
        <v/>
      </c>
      <c r="Y648" s="4">
        <f>IF(OR(C648="",X648=""),"",C648+X648)</f>
        <v/>
      </c>
      <c r="Z648" s="5">
        <f>IF(C648="","",IF(Q648="Concluído","Concluído",IF(Y648&lt;TODAY(),"Vencido",IF(Y648-TODAY()&lt;=2,"A vencer","No prazo"))))</f>
        <v/>
      </c>
      <c r="AA648" s="3">
        <f>IF(OR(Y648="",Q648="Concluído"),"",Y648-TODAY())</f>
        <v/>
      </c>
      <c r="AB648" s="5" t="n"/>
      <c r="AC648" s="5" t="n"/>
      <c r="AD648" s="4" t="n"/>
    </row>
    <row r="649">
      <c r="A649" s="3">
        <f>IF(C649="","",ROW()-1)</f>
        <v/>
      </c>
      <c r="B649" s="4" t="n"/>
      <c r="C649" s="4" t="n"/>
      <c r="D649" s="5" t="n"/>
      <c r="E649" s="5" t="n"/>
      <c r="F649" s="5" t="n"/>
      <c r="G649" s="5" t="n"/>
      <c r="H649" s="5" t="n"/>
      <c r="I649" s="5" t="n"/>
      <c r="J649" s="5" t="n"/>
      <c r="K649" s="6" t="n"/>
      <c r="L649" s="6" t="n"/>
      <c r="M649" s="6" t="n"/>
      <c r="N649" s="5" t="n"/>
      <c r="O649" s="21" t="n"/>
      <c r="P649" s="5" t="n"/>
      <c r="Q649" s="5" t="n"/>
      <c r="R649" s="6" t="n"/>
      <c r="S649" s="4" t="n"/>
      <c r="T649" s="4" t="n"/>
      <c r="U649" s="3">
        <f>IF(C649="","",IF(T649="",TODAY()-C649,T649-C649))</f>
        <v/>
      </c>
      <c r="V649" s="5" t="n"/>
      <c r="W649" s="6" t="n"/>
      <c r="X649" s="3">
        <f>IF(P649="","",IFERROR(VLOOKUP(P649,Parâmetros!$J$2:$K$5,2,FALSE),""))</f>
        <v/>
      </c>
      <c r="Y649" s="4">
        <f>IF(OR(C649="",X649=""),"",C649+X649)</f>
        <v/>
      </c>
      <c r="Z649" s="5">
        <f>IF(C649="","",IF(Q649="Concluído","Concluído",IF(Y649&lt;TODAY(),"Vencido",IF(Y649-TODAY()&lt;=2,"A vencer","No prazo"))))</f>
        <v/>
      </c>
      <c r="AA649" s="3">
        <f>IF(OR(Y649="",Q649="Concluído"),"",Y649-TODAY())</f>
        <v/>
      </c>
      <c r="AB649" s="5" t="n"/>
      <c r="AC649" s="5" t="n"/>
      <c r="AD649" s="4" t="n"/>
    </row>
    <row r="650">
      <c r="A650" s="3">
        <f>IF(C650="","",ROW()-1)</f>
        <v/>
      </c>
      <c r="B650" s="4" t="n"/>
      <c r="C650" s="4" t="n"/>
      <c r="D650" s="5" t="n"/>
      <c r="E650" s="5" t="n"/>
      <c r="F650" s="5" t="n"/>
      <c r="G650" s="5" t="n"/>
      <c r="H650" s="5" t="n"/>
      <c r="I650" s="5" t="n"/>
      <c r="J650" s="5" t="n"/>
      <c r="K650" s="6" t="n"/>
      <c r="L650" s="6" t="n"/>
      <c r="M650" s="6" t="n"/>
      <c r="N650" s="5" t="n"/>
      <c r="O650" s="21" t="n"/>
      <c r="P650" s="5" t="n"/>
      <c r="Q650" s="5" t="n"/>
      <c r="R650" s="6" t="n"/>
      <c r="S650" s="4" t="n"/>
      <c r="T650" s="4" t="n"/>
      <c r="U650" s="3">
        <f>IF(C650="","",IF(T650="",TODAY()-C650,T650-C650))</f>
        <v/>
      </c>
      <c r="V650" s="5" t="n"/>
      <c r="W650" s="6" t="n"/>
      <c r="X650" s="3">
        <f>IF(P650="","",IFERROR(VLOOKUP(P650,Parâmetros!$J$2:$K$5,2,FALSE),""))</f>
        <v/>
      </c>
      <c r="Y650" s="4">
        <f>IF(OR(C650="",X650=""),"",C650+X650)</f>
        <v/>
      </c>
      <c r="Z650" s="5">
        <f>IF(C650="","",IF(Q650="Concluído","Concluído",IF(Y650&lt;TODAY(),"Vencido",IF(Y650-TODAY()&lt;=2,"A vencer","No prazo"))))</f>
        <v/>
      </c>
      <c r="AA650" s="3">
        <f>IF(OR(Y650="",Q650="Concluído"),"",Y650-TODAY())</f>
        <v/>
      </c>
      <c r="AB650" s="5" t="n"/>
      <c r="AC650" s="5" t="n"/>
      <c r="AD650" s="4" t="n"/>
    </row>
    <row r="651">
      <c r="A651" s="3">
        <f>IF(C651="","",ROW()-1)</f>
        <v/>
      </c>
      <c r="B651" s="4" t="n"/>
      <c r="C651" s="4" t="n"/>
      <c r="D651" s="5" t="n"/>
      <c r="E651" s="5" t="n"/>
      <c r="F651" s="5" t="n"/>
      <c r="G651" s="5" t="n"/>
      <c r="H651" s="5" t="n"/>
      <c r="I651" s="5" t="n"/>
      <c r="J651" s="5" t="n"/>
      <c r="K651" s="6" t="n"/>
      <c r="L651" s="6" t="n"/>
      <c r="M651" s="6" t="n"/>
      <c r="N651" s="5" t="n"/>
      <c r="O651" s="21" t="n"/>
      <c r="P651" s="5" t="n"/>
      <c r="Q651" s="5" t="n"/>
      <c r="R651" s="6" t="n"/>
      <c r="S651" s="4" t="n"/>
      <c r="T651" s="4" t="n"/>
      <c r="U651" s="3">
        <f>IF(C651="","",IF(T651="",TODAY()-C651,T651-C651))</f>
        <v/>
      </c>
      <c r="V651" s="5" t="n"/>
      <c r="W651" s="6" t="n"/>
      <c r="X651" s="3">
        <f>IF(P651="","",IFERROR(VLOOKUP(P651,Parâmetros!$J$2:$K$5,2,FALSE),""))</f>
        <v/>
      </c>
      <c r="Y651" s="4">
        <f>IF(OR(C651="",X651=""),"",C651+X651)</f>
        <v/>
      </c>
      <c r="Z651" s="5">
        <f>IF(C651="","",IF(Q651="Concluído","Concluído",IF(Y651&lt;TODAY(),"Vencido",IF(Y651-TODAY()&lt;=2,"A vencer","No prazo"))))</f>
        <v/>
      </c>
      <c r="AA651" s="3">
        <f>IF(OR(Y651="",Q651="Concluído"),"",Y651-TODAY())</f>
        <v/>
      </c>
      <c r="AB651" s="5" t="n"/>
      <c r="AC651" s="5" t="n"/>
      <c r="AD651" s="4" t="n"/>
    </row>
    <row r="652">
      <c r="A652" s="3">
        <f>IF(C652="","",ROW()-1)</f>
        <v/>
      </c>
      <c r="B652" s="4" t="n"/>
      <c r="C652" s="4" t="n"/>
      <c r="D652" s="5" t="n"/>
      <c r="E652" s="5" t="n"/>
      <c r="F652" s="5" t="n"/>
      <c r="G652" s="5" t="n"/>
      <c r="H652" s="5" t="n"/>
      <c r="I652" s="5" t="n"/>
      <c r="J652" s="5" t="n"/>
      <c r="K652" s="6" t="n"/>
      <c r="L652" s="6" t="n"/>
      <c r="M652" s="6" t="n"/>
      <c r="N652" s="5" t="n"/>
      <c r="O652" s="21" t="n"/>
      <c r="P652" s="5" t="n"/>
      <c r="Q652" s="5" t="n"/>
      <c r="R652" s="6" t="n"/>
      <c r="S652" s="4" t="n"/>
      <c r="T652" s="4" t="n"/>
      <c r="U652" s="3">
        <f>IF(C652="","",IF(T652="",TODAY()-C652,T652-C652))</f>
        <v/>
      </c>
      <c r="V652" s="5" t="n"/>
      <c r="W652" s="6" t="n"/>
      <c r="X652" s="3">
        <f>IF(P652="","",IFERROR(VLOOKUP(P652,Parâmetros!$J$2:$K$5,2,FALSE),""))</f>
        <v/>
      </c>
      <c r="Y652" s="4">
        <f>IF(OR(C652="",X652=""),"",C652+X652)</f>
        <v/>
      </c>
      <c r="Z652" s="5">
        <f>IF(C652="","",IF(Q652="Concluído","Concluído",IF(Y652&lt;TODAY(),"Vencido",IF(Y652-TODAY()&lt;=2,"A vencer","No prazo"))))</f>
        <v/>
      </c>
      <c r="AA652" s="3">
        <f>IF(OR(Y652="",Q652="Concluído"),"",Y652-TODAY())</f>
        <v/>
      </c>
      <c r="AB652" s="5" t="n"/>
      <c r="AC652" s="5" t="n"/>
      <c r="AD652" s="4" t="n"/>
    </row>
    <row r="653">
      <c r="A653" s="3">
        <f>IF(C653="","",ROW()-1)</f>
        <v/>
      </c>
      <c r="B653" s="4" t="n"/>
      <c r="C653" s="4" t="n"/>
      <c r="D653" s="5" t="n"/>
      <c r="E653" s="5" t="n"/>
      <c r="F653" s="5" t="n"/>
      <c r="G653" s="5" t="n"/>
      <c r="H653" s="5" t="n"/>
      <c r="I653" s="5" t="n"/>
      <c r="J653" s="5" t="n"/>
      <c r="K653" s="6" t="n"/>
      <c r="L653" s="6" t="n"/>
      <c r="M653" s="6" t="n"/>
      <c r="N653" s="5" t="n"/>
      <c r="O653" s="21" t="n"/>
      <c r="P653" s="5" t="n"/>
      <c r="Q653" s="5" t="n"/>
      <c r="R653" s="6" t="n"/>
      <c r="S653" s="4" t="n"/>
      <c r="T653" s="4" t="n"/>
      <c r="U653" s="3">
        <f>IF(C653="","",IF(T653="",TODAY()-C653,T653-C653))</f>
        <v/>
      </c>
      <c r="V653" s="5" t="n"/>
      <c r="W653" s="6" t="n"/>
      <c r="X653" s="3">
        <f>IF(P653="","",IFERROR(VLOOKUP(P653,Parâmetros!$J$2:$K$5,2,FALSE),""))</f>
        <v/>
      </c>
      <c r="Y653" s="4">
        <f>IF(OR(C653="",X653=""),"",C653+X653)</f>
        <v/>
      </c>
      <c r="Z653" s="5">
        <f>IF(C653="","",IF(Q653="Concluído","Concluído",IF(Y653&lt;TODAY(),"Vencido",IF(Y653-TODAY()&lt;=2,"A vencer","No prazo"))))</f>
        <v/>
      </c>
      <c r="AA653" s="3">
        <f>IF(OR(Y653="",Q653="Concluído"),"",Y653-TODAY())</f>
        <v/>
      </c>
      <c r="AB653" s="5" t="n"/>
      <c r="AC653" s="5" t="n"/>
      <c r="AD653" s="4" t="n"/>
    </row>
    <row r="654">
      <c r="A654" s="3">
        <f>IF(C654="","",ROW()-1)</f>
        <v/>
      </c>
      <c r="B654" s="4" t="n"/>
      <c r="C654" s="4" t="n"/>
      <c r="D654" s="5" t="n"/>
      <c r="E654" s="5" t="n"/>
      <c r="F654" s="5" t="n"/>
      <c r="G654" s="5" t="n"/>
      <c r="H654" s="5" t="n"/>
      <c r="I654" s="5" t="n"/>
      <c r="J654" s="5" t="n"/>
      <c r="K654" s="6" t="n"/>
      <c r="L654" s="6" t="n"/>
      <c r="M654" s="6" t="n"/>
      <c r="N654" s="5" t="n"/>
      <c r="O654" s="21" t="n"/>
      <c r="P654" s="5" t="n"/>
      <c r="Q654" s="5" t="n"/>
      <c r="R654" s="6" t="n"/>
      <c r="S654" s="4" t="n"/>
      <c r="T654" s="4" t="n"/>
      <c r="U654" s="3">
        <f>IF(C654="","",IF(T654="",TODAY()-C654,T654-C654))</f>
        <v/>
      </c>
      <c r="V654" s="5" t="n"/>
      <c r="W654" s="6" t="n"/>
      <c r="X654" s="3">
        <f>IF(P654="","",IFERROR(VLOOKUP(P654,Parâmetros!$J$2:$K$5,2,FALSE),""))</f>
        <v/>
      </c>
      <c r="Y654" s="4">
        <f>IF(OR(C654="",X654=""),"",C654+X654)</f>
        <v/>
      </c>
      <c r="Z654" s="5">
        <f>IF(C654="","",IF(Q654="Concluído","Concluído",IF(Y654&lt;TODAY(),"Vencido",IF(Y654-TODAY()&lt;=2,"A vencer","No prazo"))))</f>
        <v/>
      </c>
      <c r="AA654" s="3">
        <f>IF(OR(Y654="",Q654="Concluído"),"",Y654-TODAY())</f>
        <v/>
      </c>
      <c r="AB654" s="5" t="n"/>
      <c r="AC654" s="5" t="n"/>
      <c r="AD654" s="4" t="n"/>
    </row>
    <row r="655">
      <c r="A655" s="3">
        <f>IF(C655="","",ROW()-1)</f>
        <v/>
      </c>
      <c r="B655" s="4" t="n"/>
      <c r="C655" s="4" t="n"/>
      <c r="D655" s="5" t="n"/>
      <c r="E655" s="5" t="n"/>
      <c r="F655" s="5" t="n"/>
      <c r="G655" s="5" t="n"/>
      <c r="H655" s="5" t="n"/>
      <c r="I655" s="5" t="n"/>
      <c r="J655" s="5" t="n"/>
      <c r="K655" s="6" t="n"/>
      <c r="L655" s="6" t="n"/>
      <c r="M655" s="6" t="n"/>
      <c r="N655" s="5" t="n"/>
      <c r="O655" s="21" t="n"/>
      <c r="P655" s="5" t="n"/>
      <c r="Q655" s="5" t="n"/>
      <c r="R655" s="6" t="n"/>
      <c r="S655" s="4" t="n"/>
      <c r="T655" s="4" t="n"/>
      <c r="U655" s="3">
        <f>IF(C655="","",IF(T655="",TODAY()-C655,T655-C655))</f>
        <v/>
      </c>
      <c r="V655" s="5" t="n"/>
      <c r="W655" s="6" t="n"/>
      <c r="X655" s="3">
        <f>IF(P655="","",IFERROR(VLOOKUP(P655,Parâmetros!$J$2:$K$5,2,FALSE),""))</f>
        <v/>
      </c>
      <c r="Y655" s="4">
        <f>IF(OR(C655="",X655=""),"",C655+X655)</f>
        <v/>
      </c>
      <c r="Z655" s="5">
        <f>IF(C655="","",IF(Q655="Concluído","Concluído",IF(Y655&lt;TODAY(),"Vencido",IF(Y655-TODAY()&lt;=2,"A vencer","No prazo"))))</f>
        <v/>
      </c>
      <c r="AA655" s="3">
        <f>IF(OR(Y655="",Q655="Concluído"),"",Y655-TODAY())</f>
        <v/>
      </c>
      <c r="AB655" s="5" t="n"/>
      <c r="AC655" s="5" t="n"/>
      <c r="AD655" s="4" t="n"/>
    </row>
    <row r="656">
      <c r="A656" s="3">
        <f>IF(C656="","",ROW()-1)</f>
        <v/>
      </c>
      <c r="B656" s="4" t="n"/>
      <c r="C656" s="4" t="n"/>
      <c r="D656" s="5" t="n"/>
      <c r="E656" s="5" t="n"/>
      <c r="F656" s="5" t="n"/>
      <c r="G656" s="5" t="n"/>
      <c r="H656" s="5" t="n"/>
      <c r="I656" s="5" t="n"/>
      <c r="J656" s="5" t="n"/>
      <c r="K656" s="6" t="n"/>
      <c r="L656" s="6" t="n"/>
      <c r="M656" s="6" t="n"/>
      <c r="N656" s="5" t="n"/>
      <c r="O656" s="21" t="n"/>
      <c r="P656" s="5" t="n"/>
      <c r="Q656" s="5" t="n"/>
      <c r="R656" s="6" t="n"/>
      <c r="S656" s="4" t="n"/>
      <c r="T656" s="4" t="n"/>
      <c r="U656" s="3">
        <f>IF(C656="","",IF(T656="",TODAY()-C656,T656-C656))</f>
        <v/>
      </c>
      <c r="V656" s="5" t="n"/>
      <c r="W656" s="6" t="n"/>
      <c r="X656" s="3">
        <f>IF(P656="","",IFERROR(VLOOKUP(P656,Parâmetros!$J$2:$K$5,2,FALSE),""))</f>
        <v/>
      </c>
      <c r="Y656" s="4">
        <f>IF(OR(C656="",X656=""),"",C656+X656)</f>
        <v/>
      </c>
      <c r="Z656" s="5">
        <f>IF(C656="","",IF(Q656="Concluído","Concluído",IF(Y656&lt;TODAY(),"Vencido",IF(Y656-TODAY()&lt;=2,"A vencer","No prazo"))))</f>
        <v/>
      </c>
      <c r="AA656" s="3">
        <f>IF(OR(Y656="",Q656="Concluído"),"",Y656-TODAY())</f>
        <v/>
      </c>
      <c r="AB656" s="5" t="n"/>
      <c r="AC656" s="5" t="n"/>
      <c r="AD656" s="4" t="n"/>
    </row>
    <row r="657">
      <c r="A657" s="3">
        <f>IF(C657="","",ROW()-1)</f>
        <v/>
      </c>
      <c r="B657" s="4" t="n"/>
      <c r="C657" s="4" t="n"/>
      <c r="D657" s="5" t="n"/>
      <c r="E657" s="5" t="n"/>
      <c r="F657" s="5" t="n"/>
      <c r="G657" s="5" t="n"/>
      <c r="H657" s="5" t="n"/>
      <c r="I657" s="5" t="n"/>
      <c r="J657" s="5" t="n"/>
      <c r="K657" s="6" t="n"/>
      <c r="L657" s="6" t="n"/>
      <c r="M657" s="6" t="n"/>
      <c r="N657" s="5" t="n"/>
      <c r="O657" s="21" t="n"/>
      <c r="P657" s="5" t="n"/>
      <c r="Q657" s="5" t="n"/>
      <c r="R657" s="6" t="n"/>
      <c r="S657" s="4" t="n"/>
      <c r="T657" s="4" t="n"/>
      <c r="U657" s="3">
        <f>IF(C657="","",IF(T657="",TODAY()-C657,T657-C657))</f>
        <v/>
      </c>
      <c r="V657" s="5" t="n"/>
      <c r="W657" s="6" t="n"/>
      <c r="X657" s="3">
        <f>IF(P657="","",IFERROR(VLOOKUP(P657,Parâmetros!$J$2:$K$5,2,FALSE),""))</f>
        <v/>
      </c>
      <c r="Y657" s="4">
        <f>IF(OR(C657="",X657=""),"",C657+X657)</f>
        <v/>
      </c>
      <c r="Z657" s="5">
        <f>IF(C657="","",IF(Q657="Concluído","Concluído",IF(Y657&lt;TODAY(),"Vencido",IF(Y657-TODAY()&lt;=2,"A vencer","No prazo"))))</f>
        <v/>
      </c>
      <c r="AA657" s="3">
        <f>IF(OR(Y657="",Q657="Concluído"),"",Y657-TODAY())</f>
        <v/>
      </c>
      <c r="AB657" s="5" t="n"/>
      <c r="AC657" s="5" t="n"/>
      <c r="AD657" s="4" t="n"/>
    </row>
    <row r="658">
      <c r="A658" s="3">
        <f>IF(C658="","",ROW()-1)</f>
        <v/>
      </c>
      <c r="B658" s="4" t="n"/>
      <c r="C658" s="4" t="n"/>
      <c r="D658" s="5" t="n"/>
      <c r="E658" s="5" t="n"/>
      <c r="F658" s="5" t="n"/>
      <c r="G658" s="5" t="n"/>
      <c r="H658" s="5" t="n"/>
      <c r="I658" s="5" t="n"/>
      <c r="J658" s="5" t="n"/>
      <c r="K658" s="6" t="n"/>
      <c r="L658" s="6" t="n"/>
      <c r="M658" s="6" t="n"/>
      <c r="N658" s="5" t="n"/>
      <c r="O658" s="21" t="n"/>
      <c r="P658" s="5" t="n"/>
      <c r="Q658" s="5" t="n"/>
      <c r="R658" s="6" t="n"/>
      <c r="S658" s="4" t="n"/>
      <c r="T658" s="4" t="n"/>
      <c r="U658" s="3">
        <f>IF(C658="","",IF(T658="",TODAY()-C658,T658-C658))</f>
        <v/>
      </c>
      <c r="V658" s="5" t="n"/>
      <c r="W658" s="6" t="n"/>
      <c r="X658" s="3">
        <f>IF(P658="","",IFERROR(VLOOKUP(P658,Parâmetros!$J$2:$K$5,2,FALSE),""))</f>
        <v/>
      </c>
      <c r="Y658" s="4">
        <f>IF(OR(C658="",X658=""),"",C658+X658)</f>
        <v/>
      </c>
      <c r="Z658" s="5">
        <f>IF(C658="","",IF(Q658="Concluído","Concluído",IF(Y658&lt;TODAY(),"Vencido",IF(Y658-TODAY()&lt;=2,"A vencer","No prazo"))))</f>
        <v/>
      </c>
      <c r="AA658" s="3">
        <f>IF(OR(Y658="",Q658="Concluído"),"",Y658-TODAY())</f>
        <v/>
      </c>
      <c r="AB658" s="5" t="n"/>
      <c r="AC658" s="5" t="n"/>
      <c r="AD658" s="4" t="n"/>
    </row>
    <row r="659">
      <c r="A659" s="3">
        <f>IF(C659="","",ROW()-1)</f>
        <v/>
      </c>
      <c r="B659" s="4" t="n"/>
      <c r="C659" s="4" t="n"/>
      <c r="D659" s="5" t="n"/>
      <c r="E659" s="5" t="n"/>
      <c r="F659" s="5" t="n"/>
      <c r="G659" s="5" t="n"/>
      <c r="H659" s="5" t="n"/>
      <c r="I659" s="5" t="n"/>
      <c r="J659" s="5" t="n"/>
      <c r="K659" s="6" t="n"/>
      <c r="L659" s="6" t="n"/>
      <c r="M659" s="6" t="n"/>
      <c r="N659" s="5" t="n"/>
      <c r="O659" s="21" t="n"/>
      <c r="P659" s="5" t="n"/>
      <c r="Q659" s="5" t="n"/>
      <c r="R659" s="6" t="n"/>
      <c r="S659" s="4" t="n"/>
      <c r="T659" s="4" t="n"/>
      <c r="U659" s="3">
        <f>IF(C659="","",IF(T659="",TODAY()-C659,T659-C659))</f>
        <v/>
      </c>
      <c r="V659" s="5" t="n"/>
      <c r="W659" s="6" t="n"/>
      <c r="X659" s="3">
        <f>IF(P659="","",IFERROR(VLOOKUP(P659,Parâmetros!$J$2:$K$5,2,FALSE),""))</f>
        <v/>
      </c>
      <c r="Y659" s="4">
        <f>IF(OR(C659="",X659=""),"",C659+X659)</f>
        <v/>
      </c>
      <c r="Z659" s="5">
        <f>IF(C659="","",IF(Q659="Concluído","Concluído",IF(Y659&lt;TODAY(),"Vencido",IF(Y659-TODAY()&lt;=2,"A vencer","No prazo"))))</f>
        <v/>
      </c>
      <c r="AA659" s="3">
        <f>IF(OR(Y659="",Q659="Concluído"),"",Y659-TODAY())</f>
        <v/>
      </c>
      <c r="AB659" s="5" t="n"/>
      <c r="AC659" s="5" t="n"/>
      <c r="AD659" s="4" t="n"/>
    </row>
    <row r="660">
      <c r="A660" s="3">
        <f>IF(C660="","",ROW()-1)</f>
        <v/>
      </c>
      <c r="B660" s="4" t="n"/>
      <c r="C660" s="4" t="n"/>
      <c r="D660" s="5" t="n"/>
      <c r="E660" s="5" t="n"/>
      <c r="F660" s="5" t="n"/>
      <c r="G660" s="5" t="n"/>
      <c r="H660" s="5" t="n"/>
      <c r="I660" s="5" t="n"/>
      <c r="J660" s="5" t="n"/>
      <c r="K660" s="6" t="n"/>
      <c r="L660" s="6" t="n"/>
      <c r="M660" s="6" t="n"/>
      <c r="N660" s="5" t="n"/>
      <c r="O660" s="21" t="n"/>
      <c r="P660" s="5" t="n"/>
      <c r="Q660" s="5" t="n"/>
      <c r="R660" s="6" t="n"/>
      <c r="S660" s="4" t="n"/>
      <c r="T660" s="4" t="n"/>
      <c r="U660" s="3">
        <f>IF(C660="","",IF(T660="",TODAY()-C660,T660-C660))</f>
        <v/>
      </c>
      <c r="V660" s="5" t="n"/>
      <c r="W660" s="6" t="n"/>
      <c r="X660" s="3">
        <f>IF(P660="","",IFERROR(VLOOKUP(P660,Parâmetros!$J$2:$K$5,2,FALSE),""))</f>
        <v/>
      </c>
      <c r="Y660" s="4">
        <f>IF(OR(C660="",X660=""),"",C660+X660)</f>
        <v/>
      </c>
      <c r="Z660" s="5">
        <f>IF(C660="","",IF(Q660="Concluído","Concluído",IF(Y660&lt;TODAY(),"Vencido",IF(Y660-TODAY()&lt;=2,"A vencer","No prazo"))))</f>
        <v/>
      </c>
      <c r="AA660" s="3">
        <f>IF(OR(Y660="",Q660="Concluído"),"",Y660-TODAY())</f>
        <v/>
      </c>
      <c r="AB660" s="5" t="n"/>
      <c r="AC660" s="5" t="n"/>
      <c r="AD660" s="4" t="n"/>
    </row>
    <row r="661">
      <c r="A661" s="3">
        <f>IF(C661="","",ROW()-1)</f>
        <v/>
      </c>
      <c r="B661" s="4" t="n"/>
      <c r="C661" s="4" t="n"/>
      <c r="D661" s="5" t="n"/>
      <c r="E661" s="5" t="n"/>
      <c r="F661" s="5" t="n"/>
      <c r="G661" s="5" t="n"/>
      <c r="H661" s="5" t="n"/>
      <c r="I661" s="5" t="n"/>
      <c r="J661" s="5" t="n"/>
      <c r="K661" s="6" t="n"/>
      <c r="L661" s="6" t="n"/>
      <c r="M661" s="6" t="n"/>
      <c r="N661" s="5" t="n"/>
      <c r="O661" s="21" t="n"/>
      <c r="P661" s="5" t="n"/>
      <c r="Q661" s="5" t="n"/>
      <c r="R661" s="6" t="n"/>
      <c r="S661" s="4" t="n"/>
      <c r="T661" s="4" t="n"/>
      <c r="U661" s="3">
        <f>IF(C661="","",IF(T661="",TODAY()-C661,T661-C661))</f>
        <v/>
      </c>
      <c r="V661" s="5" t="n"/>
      <c r="W661" s="6" t="n"/>
      <c r="X661" s="3">
        <f>IF(P661="","",IFERROR(VLOOKUP(P661,Parâmetros!$J$2:$K$5,2,FALSE),""))</f>
        <v/>
      </c>
      <c r="Y661" s="4">
        <f>IF(OR(C661="",X661=""),"",C661+X661)</f>
        <v/>
      </c>
      <c r="Z661" s="5">
        <f>IF(C661="","",IF(Q661="Concluído","Concluído",IF(Y661&lt;TODAY(),"Vencido",IF(Y661-TODAY()&lt;=2,"A vencer","No prazo"))))</f>
        <v/>
      </c>
      <c r="AA661" s="3">
        <f>IF(OR(Y661="",Q661="Concluído"),"",Y661-TODAY())</f>
        <v/>
      </c>
      <c r="AB661" s="5" t="n"/>
      <c r="AC661" s="5" t="n"/>
      <c r="AD661" s="4" t="n"/>
    </row>
    <row r="662">
      <c r="A662" s="3">
        <f>IF(C662="","",ROW()-1)</f>
        <v/>
      </c>
      <c r="B662" s="4" t="n"/>
      <c r="C662" s="4" t="n"/>
      <c r="D662" s="5" t="n"/>
      <c r="E662" s="5" t="n"/>
      <c r="F662" s="5" t="n"/>
      <c r="G662" s="5" t="n"/>
      <c r="H662" s="5" t="n"/>
      <c r="I662" s="5" t="n"/>
      <c r="J662" s="5" t="n"/>
      <c r="K662" s="6" t="n"/>
      <c r="L662" s="6" t="n"/>
      <c r="M662" s="6" t="n"/>
      <c r="N662" s="5" t="n"/>
      <c r="O662" s="21" t="n"/>
      <c r="P662" s="5" t="n"/>
      <c r="Q662" s="5" t="n"/>
      <c r="R662" s="6" t="n"/>
      <c r="S662" s="4" t="n"/>
      <c r="T662" s="4" t="n"/>
      <c r="U662" s="3">
        <f>IF(C662="","",IF(T662="",TODAY()-C662,T662-C662))</f>
        <v/>
      </c>
      <c r="V662" s="5" t="n"/>
      <c r="W662" s="6" t="n"/>
      <c r="X662" s="3">
        <f>IF(P662="","",IFERROR(VLOOKUP(P662,Parâmetros!$J$2:$K$5,2,FALSE),""))</f>
        <v/>
      </c>
      <c r="Y662" s="4">
        <f>IF(OR(C662="",X662=""),"",C662+X662)</f>
        <v/>
      </c>
      <c r="Z662" s="5">
        <f>IF(C662="","",IF(Q662="Concluído","Concluído",IF(Y662&lt;TODAY(),"Vencido",IF(Y662-TODAY()&lt;=2,"A vencer","No prazo"))))</f>
        <v/>
      </c>
      <c r="AA662" s="3">
        <f>IF(OR(Y662="",Q662="Concluído"),"",Y662-TODAY())</f>
        <v/>
      </c>
      <c r="AB662" s="5" t="n"/>
      <c r="AC662" s="5" t="n"/>
      <c r="AD662" s="4" t="n"/>
    </row>
    <row r="663">
      <c r="A663" s="3">
        <f>IF(C663="","",ROW()-1)</f>
        <v/>
      </c>
      <c r="B663" s="4" t="n"/>
      <c r="C663" s="4" t="n"/>
      <c r="D663" s="5" t="n"/>
      <c r="E663" s="5" t="n"/>
      <c r="F663" s="5" t="n"/>
      <c r="G663" s="5" t="n"/>
      <c r="H663" s="5" t="n"/>
      <c r="I663" s="5" t="n"/>
      <c r="J663" s="5" t="n"/>
      <c r="K663" s="6" t="n"/>
      <c r="L663" s="6" t="n"/>
      <c r="M663" s="6" t="n"/>
      <c r="N663" s="5" t="n"/>
      <c r="O663" s="21" t="n"/>
      <c r="P663" s="5" t="n"/>
      <c r="Q663" s="5" t="n"/>
      <c r="R663" s="6" t="n"/>
      <c r="S663" s="4" t="n"/>
      <c r="T663" s="4" t="n"/>
      <c r="U663" s="3">
        <f>IF(C663="","",IF(T663="",TODAY()-C663,T663-C663))</f>
        <v/>
      </c>
      <c r="V663" s="5" t="n"/>
      <c r="W663" s="6" t="n"/>
      <c r="X663" s="3">
        <f>IF(P663="","",IFERROR(VLOOKUP(P663,Parâmetros!$J$2:$K$5,2,FALSE),""))</f>
        <v/>
      </c>
      <c r="Y663" s="4">
        <f>IF(OR(C663="",X663=""),"",C663+X663)</f>
        <v/>
      </c>
      <c r="Z663" s="5">
        <f>IF(C663="","",IF(Q663="Concluído","Concluído",IF(Y663&lt;TODAY(),"Vencido",IF(Y663-TODAY()&lt;=2,"A vencer","No prazo"))))</f>
        <v/>
      </c>
      <c r="AA663" s="3">
        <f>IF(OR(Y663="",Q663="Concluído"),"",Y663-TODAY())</f>
        <v/>
      </c>
      <c r="AB663" s="5" t="n"/>
      <c r="AC663" s="5" t="n"/>
      <c r="AD663" s="4" t="n"/>
    </row>
    <row r="664">
      <c r="A664" s="3">
        <f>IF(C664="","",ROW()-1)</f>
        <v/>
      </c>
      <c r="B664" s="4" t="n"/>
      <c r="C664" s="4" t="n"/>
      <c r="D664" s="5" t="n"/>
      <c r="E664" s="5" t="n"/>
      <c r="F664" s="5" t="n"/>
      <c r="G664" s="5" t="n"/>
      <c r="H664" s="5" t="n"/>
      <c r="I664" s="5" t="n"/>
      <c r="J664" s="5" t="n"/>
      <c r="K664" s="6" t="n"/>
      <c r="L664" s="6" t="n"/>
      <c r="M664" s="6" t="n"/>
      <c r="N664" s="5" t="n"/>
      <c r="O664" s="21" t="n"/>
      <c r="P664" s="5" t="n"/>
      <c r="Q664" s="5" t="n"/>
      <c r="R664" s="6" t="n"/>
      <c r="S664" s="4" t="n"/>
      <c r="T664" s="4" t="n"/>
      <c r="U664" s="3">
        <f>IF(C664="","",IF(T664="",TODAY()-C664,T664-C664))</f>
        <v/>
      </c>
      <c r="V664" s="5" t="n"/>
      <c r="W664" s="6" t="n"/>
      <c r="X664" s="3">
        <f>IF(P664="","",IFERROR(VLOOKUP(P664,Parâmetros!$J$2:$K$5,2,FALSE),""))</f>
        <v/>
      </c>
      <c r="Y664" s="4">
        <f>IF(OR(C664="",X664=""),"",C664+X664)</f>
        <v/>
      </c>
      <c r="Z664" s="5">
        <f>IF(C664="","",IF(Q664="Concluído","Concluído",IF(Y664&lt;TODAY(),"Vencido",IF(Y664-TODAY()&lt;=2,"A vencer","No prazo"))))</f>
        <v/>
      </c>
      <c r="AA664" s="3">
        <f>IF(OR(Y664="",Q664="Concluído"),"",Y664-TODAY())</f>
        <v/>
      </c>
      <c r="AB664" s="5" t="n"/>
      <c r="AC664" s="5" t="n"/>
      <c r="AD664" s="4" t="n"/>
    </row>
    <row r="665">
      <c r="A665" s="3">
        <f>IF(C665="","",ROW()-1)</f>
        <v/>
      </c>
      <c r="B665" s="4" t="n"/>
      <c r="C665" s="4" t="n"/>
      <c r="D665" s="5" t="n"/>
      <c r="E665" s="5" t="n"/>
      <c r="F665" s="5" t="n"/>
      <c r="G665" s="5" t="n"/>
      <c r="H665" s="5" t="n"/>
      <c r="I665" s="5" t="n"/>
      <c r="J665" s="5" t="n"/>
      <c r="K665" s="6" t="n"/>
      <c r="L665" s="6" t="n"/>
      <c r="M665" s="6" t="n"/>
      <c r="N665" s="5" t="n"/>
      <c r="O665" s="21" t="n"/>
      <c r="P665" s="5" t="n"/>
      <c r="Q665" s="5" t="n"/>
      <c r="R665" s="6" t="n"/>
      <c r="S665" s="4" t="n"/>
      <c r="T665" s="4" t="n"/>
      <c r="U665" s="3">
        <f>IF(C665="","",IF(T665="",TODAY()-C665,T665-C665))</f>
        <v/>
      </c>
      <c r="V665" s="5" t="n"/>
      <c r="W665" s="6" t="n"/>
      <c r="X665" s="3">
        <f>IF(P665="","",IFERROR(VLOOKUP(P665,Parâmetros!$J$2:$K$5,2,FALSE),""))</f>
        <v/>
      </c>
      <c r="Y665" s="4">
        <f>IF(OR(C665="",X665=""),"",C665+X665)</f>
        <v/>
      </c>
      <c r="Z665" s="5">
        <f>IF(C665="","",IF(Q665="Concluído","Concluído",IF(Y665&lt;TODAY(),"Vencido",IF(Y665-TODAY()&lt;=2,"A vencer","No prazo"))))</f>
        <v/>
      </c>
      <c r="AA665" s="3">
        <f>IF(OR(Y665="",Q665="Concluído"),"",Y665-TODAY())</f>
        <v/>
      </c>
      <c r="AB665" s="5" t="n"/>
      <c r="AC665" s="5" t="n"/>
      <c r="AD665" s="4" t="n"/>
    </row>
    <row r="666">
      <c r="A666" s="3">
        <f>IF(C666="","",ROW()-1)</f>
        <v/>
      </c>
      <c r="B666" s="4" t="n"/>
      <c r="C666" s="4" t="n"/>
      <c r="D666" s="5" t="n"/>
      <c r="E666" s="5" t="n"/>
      <c r="F666" s="5" t="n"/>
      <c r="G666" s="5" t="n"/>
      <c r="H666" s="5" t="n"/>
      <c r="I666" s="5" t="n"/>
      <c r="J666" s="5" t="n"/>
      <c r="K666" s="6" t="n"/>
      <c r="L666" s="6" t="n"/>
      <c r="M666" s="6" t="n"/>
      <c r="N666" s="5" t="n"/>
      <c r="O666" s="21" t="n"/>
      <c r="P666" s="5" t="n"/>
      <c r="Q666" s="5" t="n"/>
      <c r="R666" s="6" t="n"/>
      <c r="S666" s="4" t="n"/>
      <c r="T666" s="4" t="n"/>
      <c r="U666" s="3">
        <f>IF(C666="","",IF(T666="",TODAY()-C666,T666-C666))</f>
        <v/>
      </c>
      <c r="V666" s="5" t="n"/>
      <c r="W666" s="6" t="n"/>
      <c r="X666" s="3">
        <f>IF(P666="","",IFERROR(VLOOKUP(P666,Parâmetros!$J$2:$K$5,2,FALSE),""))</f>
        <v/>
      </c>
      <c r="Y666" s="4">
        <f>IF(OR(C666="",X666=""),"",C666+X666)</f>
        <v/>
      </c>
      <c r="Z666" s="5">
        <f>IF(C666="","",IF(Q666="Concluído","Concluído",IF(Y666&lt;TODAY(),"Vencido",IF(Y666-TODAY()&lt;=2,"A vencer","No prazo"))))</f>
        <v/>
      </c>
      <c r="AA666" s="3">
        <f>IF(OR(Y666="",Q666="Concluído"),"",Y666-TODAY())</f>
        <v/>
      </c>
      <c r="AB666" s="5" t="n"/>
      <c r="AC666" s="5" t="n"/>
      <c r="AD666" s="4" t="n"/>
    </row>
    <row r="667">
      <c r="A667" s="3">
        <f>IF(C667="","",ROW()-1)</f>
        <v/>
      </c>
      <c r="B667" s="4" t="n"/>
      <c r="C667" s="4" t="n"/>
      <c r="D667" s="5" t="n"/>
      <c r="E667" s="5" t="n"/>
      <c r="F667" s="5" t="n"/>
      <c r="G667" s="5" t="n"/>
      <c r="H667" s="5" t="n"/>
      <c r="I667" s="5" t="n"/>
      <c r="J667" s="5" t="n"/>
      <c r="K667" s="6" t="n"/>
      <c r="L667" s="6" t="n"/>
      <c r="M667" s="6" t="n"/>
      <c r="N667" s="5" t="n"/>
      <c r="O667" s="21" t="n"/>
      <c r="P667" s="5" t="n"/>
      <c r="Q667" s="5" t="n"/>
      <c r="R667" s="6" t="n"/>
      <c r="S667" s="4" t="n"/>
      <c r="T667" s="4" t="n"/>
      <c r="U667" s="3">
        <f>IF(C667="","",IF(T667="",TODAY()-C667,T667-C667))</f>
        <v/>
      </c>
      <c r="V667" s="5" t="n"/>
      <c r="W667" s="6" t="n"/>
      <c r="X667" s="3">
        <f>IF(P667="","",IFERROR(VLOOKUP(P667,Parâmetros!$J$2:$K$5,2,FALSE),""))</f>
        <v/>
      </c>
      <c r="Y667" s="4">
        <f>IF(OR(C667="",X667=""),"",C667+X667)</f>
        <v/>
      </c>
      <c r="Z667" s="5">
        <f>IF(C667="","",IF(Q667="Concluído","Concluído",IF(Y667&lt;TODAY(),"Vencido",IF(Y667-TODAY()&lt;=2,"A vencer","No prazo"))))</f>
        <v/>
      </c>
      <c r="AA667" s="3">
        <f>IF(OR(Y667="",Q667="Concluído"),"",Y667-TODAY())</f>
        <v/>
      </c>
      <c r="AB667" s="5" t="n"/>
      <c r="AC667" s="5" t="n"/>
      <c r="AD667" s="4" t="n"/>
    </row>
    <row r="668">
      <c r="A668" s="3">
        <f>IF(C668="","",ROW()-1)</f>
        <v/>
      </c>
      <c r="B668" s="4" t="n"/>
      <c r="C668" s="4" t="n"/>
      <c r="D668" s="5" t="n"/>
      <c r="E668" s="5" t="n"/>
      <c r="F668" s="5" t="n"/>
      <c r="G668" s="5" t="n"/>
      <c r="H668" s="5" t="n"/>
      <c r="I668" s="5" t="n"/>
      <c r="J668" s="5" t="n"/>
      <c r="K668" s="6" t="n"/>
      <c r="L668" s="6" t="n"/>
      <c r="M668" s="6" t="n"/>
      <c r="N668" s="5" t="n"/>
      <c r="O668" s="21" t="n"/>
      <c r="P668" s="5" t="n"/>
      <c r="Q668" s="5" t="n"/>
      <c r="R668" s="6" t="n"/>
      <c r="S668" s="4" t="n"/>
      <c r="T668" s="4" t="n"/>
      <c r="U668" s="3">
        <f>IF(C668="","",IF(T668="",TODAY()-C668,T668-C668))</f>
        <v/>
      </c>
      <c r="V668" s="5" t="n"/>
      <c r="W668" s="6" t="n"/>
      <c r="X668" s="3">
        <f>IF(P668="","",IFERROR(VLOOKUP(P668,Parâmetros!$J$2:$K$5,2,FALSE),""))</f>
        <v/>
      </c>
      <c r="Y668" s="4">
        <f>IF(OR(C668="",X668=""),"",C668+X668)</f>
        <v/>
      </c>
      <c r="Z668" s="5">
        <f>IF(C668="","",IF(Q668="Concluído","Concluído",IF(Y668&lt;TODAY(),"Vencido",IF(Y668-TODAY()&lt;=2,"A vencer","No prazo"))))</f>
        <v/>
      </c>
      <c r="AA668" s="3">
        <f>IF(OR(Y668="",Q668="Concluído"),"",Y668-TODAY())</f>
        <v/>
      </c>
      <c r="AB668" s="5" t="n"/>
      <c r="AC668" s="5" t="n"/>
      <c r="AD668" s="4" t="n"/>
    </row>
    <row r="669">
      <c r="A669" s="3">
        <f>IF(C669="","",ROW()-1)</f>
        <v/>
      </c>
      <c r="B669" s="4" t="n"/>
      <c r="C669" s="4" t="n"/>
      <c r="D669" s="5" t="n"/>
      <c r="E669" s="5" t="n"/>
      <c r="F669" s="5" t="n"/>
      <c r="G669" s="5" t="n"/>
      <c r="H669" s="5" t="n"/>
      <c r="I669" s="5" t="n"/>
      <c r="J669" s="5" t="n"/>
      <c r="K669" s="6" t="n"/>
      <c r="L669" s="6" t="n"/>
      <c r="M669" s="6" t="n"/>
      <c r="N669" s="5" t="n"/>
      <c r="O669" s="21" t="n"/>
      <c r="P669" s="5" t="n"/>
      <c r="Q669" s="5" t="n"/>
      <c r="R669" s="6" t="n"/>
      <c r="S669" s="4" t="n"/>
      <c r="T669" s="4" t="n"/>
      <c r="U669" s="3">
        <f>IF(C669="","",IF(T669="",TODAY()-C669,T669-C669))</f>
        <v/>
      </c>
      <c r="V669" s="5" t="n"/>
      <c r="W669" s="6" t="n"/>
      <c r="X669" s="3">
        <f>IF(P669="","",IFERROR(VLOOKUP(P669,Parâmetros!$J$2:$K$5,2,FALSE),""))</f>
        <v/>
      </c>
      <c r="Y669" s="4">
        <f>IF(OR(C669="",X669=""),"",C669+X669)</f>
        <v/>
      </c>
      <c r="Z669" s="5">
        <f>IF(C669="","",IF(Q669="Concluído","Concluído",IF(Y669&lt;TODAY(),"Vencido",IF(Y669-TODAY()&lt;=2,"A vencer","No prazo"))))</f>
        <v/>
      </c>
      <c r="AA669" s="3">
        <f>IF(OR(Y669="",Q669="Concluído"),"",Y669-TODAY())</f>
        <v/>
      </c>
      <c r="AB669" s="5" t="n"/>
      <c r="AC669" s="5" t="n"/>
      <c r="AD669" s="4" t="n"/>
    </row>
    <row r="670">
      <c r="A670" s="3">
        <f>IF(C670="","",ROW()-1)</f>
        <v/>
      </c>
      <c r="B670" s="4" t="n"/>
      <c r="C670" s="4" t="n"/>
      <c r="D670" s="5" t="n"/>
      <c r="E670" s="5" t="n"/>
      <c r="F670" s="5" t="n"/>
      <c r="G670" s="5" t="n"/>
      <c r="H670" s="5" t="n"/>
      <c r="I670" s="5" t="n"/>
      <c r="J670" s="5" t="n"/>
      <c r="K670" s="6" t="n"/>
      <c r="L670" s="6" t="n"/>
      <c r="M670" s="6" t="n"/>
      <c r="N670" s="5" t="n"/>
      <c r="O670" s="21" t="n"/>
      <c r="P670" s="5" t="n"/>
      <c r="Q670" s="5" t="n"/>
      <c r="R670" s="6" t="n"/>
      <c r="S670" s="4" t="n"/>
      <c r="T670" s="4" t="n"/>
      <c r="U670" s="3">
        <f>IF(C670="","",IF(T670="",TODAY()-C670,T670-C670))</f>
        <v/>
      </c>
      <c r="V670" s="5" t="n"/>
      <c r="W670" s="6" t="n"/>
      <c r="X670" s="3">
        <f>IF(P670="","",IFERROR(VLOOKUP(P670,Parâmetros!$J$2:$K$5,2,FALSE),""))</f>
        <v/>
      </c>
      <c r="Y670" s="4">
        <f>IF(OR(C670="",X670=""),"",C670+X670)</f>
        <v/>
      </c>
      <c r="Z670" s="5">
        <f>IF(C670="","",IF(Q670="Concluído","Concluído",IF(Y670&lt;TODAY(),"Vencido",IF(Y670-TODAY()&lt;=2,"A vencer","No prazo"))))</f>
        <v/>
      </c>
      <c r="AA670" s="3">
        <f>IF(OR(Y670="",Q670="Concluído"),"",Y670-TODAY())</f>
        <v/>
      </c>
      <c r="AB670" s="5" t="n"/>
      <c r="AC670" s="5" t="n"/>
      <c r="AD670" s="4" t="n"/>
    </row>
    <row r="671">
      <c r="A671" s="3">
        <f>IF(C671="","",ROW()-1)</f>
        <v/>
      </c>
      <c r="B671" s="4" t="n"/>
      <c r="C671" s="4" t="n"/>
      <c r="D671" s="5" t="n"/>
      <c r="E671" s="5" t="n"/>
      <c r="F671" s="5" t="n"/>
      <c r="G671" s="5" t="n"/>
      <c r="H671" s="5" t="n"/>
      <c r="I671" s="5" t="n"/>
      <c r="J671" s="5" t="n"/>
      <c r="K671" s="6" t="n"/>
      <c r="L671" s="6" t="n"/>
      <c r="M671" s="6" t="n"/>
      <c r="N671" s="5" t="n"/>
      <c r="O671" s="21" t="n"/>
      <c r="P671" s="5" t="n"/>
      <c r="Q671" s="5" t="n"/>
      <c r="R671" s="6" t="n"/>
      <c r="S671" s="4" t="n"/>
      <c r="T671" s="4" t="n"/>
      <c r="U671" s="3">
        <f>IF(C671="","",IF(T671="",TODAY()-C671,T671-C671))</f>
        <v/>
      </c>
      <c r="V671" s="5" t="n"/>
      <c r="W671" s="6" t="n"/>
      <c r="X671" s="3">
        <f>IF(P671="","",IFERROR(VLOOKUP(P671,Parâmetros!$J$2:$K$5,2,FALSE),""))</f>
        <v/>
      </c>
      <c r="Y671" s="4">
        <f>IF(OR(C671="",X671=""),"",C671+X671)</f>
        <v/>
      </c>
      <c r="Z671" s="5">
        <f>IF(C671="","",IF(Q671="Concluído","Concluído",IF(Y671&lt;TODAY(),"Vencido",IF(Y671-TODAY()&lt;=2,"A vencer","No prazo"))))</f>
        <v/>
      </c>
      <c r="AA671" s="3">
        <f>IF(OR(Y671="",Q671="Concluído"),"",Y671-TODAY())</f>
        <v/>
      </c>
      <c r="AB671" s="5" t="n"/>
      <c r="AC671" s="5" t="n"/>
      <c r="AD671" s="4" t="n"/>
    </row>
    <row r="672">
      <c r="A672" s="3">
        <f>IF(C672="","",ROW()-1)</f>
        <v/>
      </c>
      <c r="B672" s="4" t="n"/>
      <c r="C672" s="4" t="n"/>
      <c r="D672" s="5" t="n"/>
      <c r="E672" s="5" t="n"/>
      <c r="F672" s="5" t="n"/>
      <c r="G672" s="5" t="n"/>
      <c r="H672" s="5" t="n"/>
      <c r="I672" s="5" t="n"/>
      <c r="J672" s="5" t="n"/>
      <c r="K672" s="6" t="n"/>
      <c r="L672" s="6" t="n"/>
      <c r="M672" s="6" t="n"/>
      <c r="N672" s="5" t="n"/>
      <c r="O672" s="21" t="n"/>
      <c r="P672" s="5" t="n"/>
      <c r="Q672" s="5" t="n"/>
      <c r="R672" s="6" t="n"/>
      <c r="S672" s="4" t="n"/>
      <c r="T672" s="4" t="n"/>
      <c r="U672" s="3">
        <f>IF(C672="","",IF(T672="",TODAY()-C672,T672-C672))</f>
        <v/>
      </c>
      <c r="V672" s="5" t="n"/>
      <c r="W672" s="6" t="n"/>
      <c r="X672" s="3">
        <f>IF(P672="","",IFERROR(VLOOKUP(P672,Parâmetros!$J$2:$K$5,2,FALSE),""))</f>
        <v/>
      </c>
      <c r="Y672" s="4">
        <f>IF(OR(C672="",X672=""),"",C672+X672)</f>
        <v/>
      </c>
      <c r="Z672" s="5">
        <f>IF(C672="","",IF(Q672="Concluído","Concluído",IF(Y672&lt;TODAY(),"Vencido",IF(Y672-TODAY()&lt;=2,"A vencer","No prazo"))))</f>
        <v/>
      </c>
      <c r="AA672" s="3">
        <f>IF(OR(Y672="",Q672="Concluído"),"",Y672-TODAY())</f>
        <v/>
      </c>
      <c r="AB672" s="5" t="n"/>
      <c r="AC672" s="5" t="n"/>
      <c r="AD672" s="4" t="n"/>
    </row>
    <row r="673">
      <c r="A673" s="3">
        <f>IF(C673="","",ROW()-1)</f>
        <v/>
      </c>
      <c r="B673" s="4" t="n"/>
      <c r="C673" s="4" t="n"/>
      <c r="D673" s="5" t="n"/>
      <c r="E673" s="5" t="n"/>
      <c r="F673" s="5" t="n"/>
      <c r="G673" s="5" t="n"/>
      <c r="H673" s="5" t="n"/>
      <c r="I673" s="5" t="n"/>
      <c r="J673" s="5" t="n"/>
      <c r="K673" s="6" t="n"/>
      <c r="L673" s="6" t="n"/>
      <c r="M673" s="6" t="n"/>
      <c r="N673" s="5" t="n"/>
      <c r="O673" s="21" t="n"/>
      <c r="P673" s="5" t="n"/>
      <c r="Q673" s="5" t="n"/>
      <c r="R673" s="6" t="n"/>
      <c r="S673" s="4" t="n"/>
      <c r="T673" s="4" t="n"/>
      <c r="U673" s="3">
        <f>IF(C673="","",IF(T673="",TODAY()-C673,T673-C673))</f>
        <v/>
      </c>
      <c r="V673" s="5" t="n"/>
      <c r="W673" s="6" t="n"/>
      <c r="X673" s="3">
        <f>IF(P673="","",IFERROR(VLOOKUP(P673,Parâmetros!$J$2:$K$5,2,FALSE),""))</f>
        <v/>
      </c>
      <c r="Y673" s="4">
        <f>IF(OR(C673="",X673=""),"",C673+X673)</f>
        <v/>
      </c>
      <c r="Z673" s="5">
        <f>IF(C673="","",IF(Q673="Concluído","Concluído",IF(Y673&lt;TODAY(),"Vencido",IF(Y673-TODAY()&lt;=2,"A vencer","No prazo"))))</f>
        <v/>
      </c>
      <c r="AA673" s="3">
        <f>IF(OR(Y673="",Q673="Concluído"),"",Y673-TODAY())</f>
        <v/>
      </c>
      <c r="AB673" s="5" t="n"/>
      <c r="AC673" s="5" t="n"/>
      <c r="AD673" s="4" t="n"/>
    </row>
    <row r="674">
      <c r="A674" s="3">
        <f>IF(C674="","",ROW()-1)</f>
        <v/>
      </c>
      <c r="B674" s="4" t="n"/>
      <c r="C674" s="4" t="n"/>
      <c r="D674" s="5" t="n"/>
      <c r="E674" s="5" t="n"/>
      <c r="F674" s="5" t="n"/>
      <c r="G674" s="5" t="n"/>
      <c r="H674" s="5" t="n"/>
      <c r="I674" s="5" t="n"/>
      <c r="J674" s="5" t="n"/>
      <c r="K674" s="6" t="n"/>
      <c r="L674" s="6" t="n"/>
      <c r="M674" s="6" t="n"/>
      <c r="N674" s="5" t="n"/>
      <c r="O674" s="21" t="n"/>
      <c r="P674" s="5" t="n"/>
      <c r="Q674" s="5" t="n"/>
      <c r="R674" s="6" t="n"/>
      <c r="S674" s="4" t="n"/>
      <c r="T674" s="4" t="n"/>
      <c r="U674" s="3">
        <f>IF(C674="","",IF(T674="",TODAY()-C674,T674-C674))</f>
        <v/>
      </c>
      <c r="V674" s="5" t="n"/>
      <c r="W674" s="6" t="n"/>
      <c r="X674" s="3">
        <f>IF(P674="","",IFERROR(VLOOKUP(P674,Parâmetros!$J$2:$K$5,2,FALSE),""))</f>
        <v/>
      </c>
      <c r="Y674" s="4">
        <f>IF(OR(C674="",X674=""),"",C674+X674)</f>
        <v/>
      </c>
      <c r="Z674" s="5">
        <f>IF(C674="","",IF(Q674="Concluído","Concluído",IF(Y674&lt;TODAY(),"Vencido",IF(Y674-TODAY()&lt;=2,"A vencer","No prazo"))))</f>
        <v/>
      </c>
      <c r="AA674" s="3">
        <f>IF(OR(Y674="",Q674="Concluído"),"",Y674-TODAY())</f>
        <v/>
      </c>
      <c r="AB674" s="5" t="n"/>
      <c r="AC674" s="5" t="n"/>
      <c r="AD674" s="4" t="n"/>
    </row>
    <row r="675">
      <c r="A675" s="3">
        <f>IF(C675="","",ROW()-1)</f>
        <v/>
      </c>
      <c r="B675" s="4" t="n"/>
      <c r="C675" s="4" t="n"/>
      <c r="D675" s="5" t="n"/>
      <c r="E675" s="5" t="n"/>
      <c r="F675" s="5" t="n"/>
      <c r="G675" s="5" t="n"/>
      <c r="H675" s="5" t="n"/>
      <c r="I675" s="5" t="n"/>
      <c r="J675" s="5" t="n"/>
      <c r="K675" s="6" t="n"/>
      <c r="L675" s="6" t="n"/>
      <c r="M675" s="6" t="n"/>
      <c r="N675" s="5" t="n"/>
      <c r="O675" s="21" t="n"/>
      <c r="P675" s="5" t="n"/>
      <c r="Q675" s="5" t="n"/>
      <c r="R675" s="6" t="n"/>
      <c r="S675" s="4" t="n"/>
      <c r="T675" s="4" t="n"/>
      <c r="U675" s="3">
        <f>IF(C675="","",IF(T675="",TODAY()-C675,T675-C675))</f>
        <v/>
      </c>
      <c r="V675" s="5" t="n"/>
      <c r="W675" s="6" t="n"/>
      <c r="X675" s="3">
        <f>IF(P675="","",IFERROR(VLOOKUP(P675,Parâmetros!$J$2:$K$5,2,FALSE),""))</f>
        <v/>
      </c>
      <c r="Y675" s="4">
        <f>IF(OR(C675="",X675=""),"",C675+X675)</f>
        <v/>
      </c>
      <c r="Z675" s="5">
        <f>IF(C675="","",IF(Q675="Concluído","Concluído",IF(Y675&lt;TODAY(),"Vencido",IF(Y675-TODAY()&lt;=2,"A vencer","No prazo"))))</f>
        <v/>
      </c>
      <c r="AA675" s="3">
        <f>IF(OR(Y675="",Q675="Concluído"),"",Y675-TODAY())</f>
        <v/>
      </c>
      <c r="AB675" s="5" t="n"/>
      <c r="AC675" s="5" t="n"/>
      <c r="AD675" s="4" t="n"/>
    </row>
    <row r="676">
      <c r="A676" s="3">
        <f>IF(C676="","",ROW()-1)</f>
        <v/>
      </c>
      <c r="B676" s="4" t="n"/>
      <c r="C676" s="4" t="n"/>
      <c r="D676" s="5" t="n"/>
      <c r="E676" s="5" t="n"/>
      <c r="F676" s="5" t="n"/>
      <c r="G676" s="5" t="n"/>
      <c r="H676" s="5" t="n"/>
      <c r="I676" s="5" t="n"/>
      <c r="J676" s="5" t="n"/>
      <c r="K676" s="6" t="n"/>
      <c r="L676" s="6" t="n"/>
      <c r="M676" s="6" t="n"/>
      <c r="N676" s="5" t="n"/>
      <c r="O676" s="21" t="n"/>
      <c r="P676" s="5" t="n"/>
      <c r="Q676" s="5" t="n"/>
      <c r="R676" s="6" t="n"/>
      <c r="S676" s="4" t="n"/>
      <c r="T676" s="4" t="n"/>
      <c r="U676" s="3">
        <f>IF(C676="","",IF(T676="",TODAY()-C676,T676-C676))</f>
        <v/>
      </c>
      <c r="V676" s="5" t="n"/>
      <c r="W676" s="6" t="n"/>
      <c r="X676" s="3">
        <f>IF(P676="","",IFERROR(VLOOKUP(P676,Parâmetros!$J$2:$K$5,2,FALSE),""))</f>
        <v/>
      </c>
      <c r="Y676" s="4">
        <f>IF(OR(C676="",X676=""),"",C676+X676)</f>
        <v/>
      </c>
      <c r="Z676" s="5">
        <f>IF(C676="","",IF(Q676="Concluído","Concluído",IF(Y676&lt;TODAY(),"Vencido",IF(Y676-TODAY()&lt;=2,"A vencer","No prazo"))))</f>
        <v/>
      </c>
      <c r="AA676" s="3">
        <f>IF(OR(Y676="",Q676="Concluído"),"",Y676-TODAY())</f>
        <v/>
      </c>
      <c r="AB676" s="5" t="n"/>
      <c r="AC676" s="5" t="n"/>
      <c r="AD676" s="4" t="n"/>
    </row>
    <row r="677">
      <c r="A677" s="3">
        <f>IF(C677="","",ROW()-1)</f>
        <v/>
      </c>
      <c r="B677" s="4" t="n"/>
      <c r="C677" s="4" t="n"/>
      <c r="D677" s="5" t="n"/>
      <c r="E677" s="5" t="n"/>
      <c r="F677" s="5" t="n"/>
      <c r="G677" s="5" t="n"/>
      <c r="H677" s="5" t="n"/>
      <c r="I677" s="5" t="n"/>
      <c r="J677" s="5" t="n"/>
      <c r="K677" s="6" t="n"/>
      <c r="L677" s="6" t="n"/>
      <c r="M677" s="6" t="n"/>
      <c r="N677" s="5" t="n"/>
      <c r="O677" s="21" t="n"/>
      <c r="P677" s="5" t="n"/>
      <c r="Q677" s="5" t="n"/>
      <c r="R677" s="6" t="n"/>
      <c r="S677" s="4" t="n"/>
      <c r="T677" s="4" t="n"/>
      <c r="U677" s="3">
        <f>IF(C677="","",IF(T677="",TODAY()-C677,T677-C677))</f>
        <v/>
      </c>
      <c r="V677" s="5" t="n"/>
      <c r="W677" s="6" t="n"/>
      <c r="X677" s="3">
        <f>IF(P677="","",IFERROR(VLOOKUP(P677,Parâmetros!$J$2:$K$5,2,FALSE),""))</f>
        <v/>
      </c>
      <c r="Y677" s="4">
        <f>IF(OR(C677="",X677=""),"",C677+X677)</f>
        <v/>
      </c>
      <c r="Z677" s="5">
        <f>IF(C677="","",IF(Q677="Concluído","Concluído",IF(Y677&lt;TODAY(),"Vencido",IF(Y677-TODAY()&lt;=2,"A vencer","No prazo"))))</f>
        <v/>
      </c>
      <c r="AA677" s="3">
        <f>IF(OR(Y677="",Q677="Concluído"),"",Y677-TODAY())</f>
        <v/>
      </c>
      <c r="AB677" s="5" t="n"/>
      <c r="AC677" s="5" t="n"/>
      <c r="AD677" s="4" t="n"/>
    </row>
    <row r="678">
      <c r="A678" s="3">
        <f>IF(C678="","",ROW()-1)</f>
        <v/>
      </c>
      <c r="B678" s="4" t="n"/>
      <c r="C678" s="4" t="n"/>
      <c r="D678" s="5" t="n"/>
      <c r="E678" s="5" t="n"/>
      <c r="F678" s="5" t="n"/>
      <c r="G678" s="5" t="n"/>
      <c r="H678" s="5" t="n"/>
      <c r="I678" s="5" t="n"/>
      <c r="J678" s="5" t="n"/>
      <c r="K678" s="6" t="n"/>
      <c r="L678" s="6" t="n"/>
      <c r="M678" s="6" t="n"/>
      <c r="N678" s="5" t="n"/>
      <c r="O678" s="21" t="n"/>
      <c r="P678" s="5" t="n"/>
      <c r="Q678" s="5" t="n"/>
      <c r="R678" s="6" t="n"/>
      <c r="S678" s="4" t="n"/>
      <c r="T678" s="4" t="n"/>
      <c r="U678" s="3">
        <f>IF(C678="","",IF(T678="",TODAY()-C678,T678-C678))</f>
        <v/>
      </c>
      <c r="V678" s="5" t="n"/>
      <c r="W678" s="6" t="n"/>
      <c r="X678" s="3">
        <f>IF(P678="","",IFERROR(VLOOKUP(P678,Parâmetros!$J$2:$K$5,2,FALSE),""))</f>
        <v/>
      </c>
      <c r="Y678" s="4">
        <f>IF(OR(C678="",X678=""),"",C678+X678)</f>
        <v/>
      </c>
      <c r="Z678" s="5">
        <f>IF(C678="","",IF(Q678="Concluído","Concluído",IF(Y678&lt;TODAY(),"Vencido",IF(Y678-TODAY()&lt;=2,"A vencer","No prazo"))))</f>
        <v/>
      </c>
      <c r="AA678" s="3">
        <f>IF(OR(Y678="",Q678="Concluído"),"",Y678-TODAY())</f>
        <v/>
      </c>
      <c r="AB678" s="5" t="n"/>
      <c r="AC678" s="5" t="n"/>
      <c r="AD678" s="4" t="n"/>
    </row>
    <row r="679">
      <c r="A679" s="3">
        <f>IF(C679="","",ROW()-1)</f>
        <v/>
      </c>
      <c r="B679" s="4" t="n"/>
      <c r="C679" s="4" t="n"/>
      <c r="D679" s="5" t="n"/>
      <c r="E679" s="5" t="n"/>
      <c r="F679" s="5" t="n"/>
      <c r="G679" s="5" t="n"/>
      <c r="H679" s="5" t="n"/>
      <c r="I679" s="5" t="n"/>
      <c r="J679" s="5" t="n"/>
      <c r="K679" s="6" t="n"/>
      <c r="L679" s="6" t="n"/>
      <c r="M679" s="6" t="n"/>
      <c r="N679" s="5" t="n"/>
      <c r="O679" s="21" t="n"/>
      <c r="P679" s="5" t="n"/>
      <c r="Q679" s="5" t="n"/>
      <c r="R679" s="6" t="n"/>
      <c r="S679" s="4" t="n"/>
      <c r="T679" s="4" t="n"/>
      <c r="U679" s="3">
        <f>IF(C679="","",IF(T679="",TODAY()-C679,T679-C679))</f>
        <v/>
      </c>
      <c r="V679" s="5" t="n"/>
      <c r="W679" s="6" t="n"/>
      <c r="X679" s="3">
        <f>IF(P679="","",IFERROR(VLOOKUP(P679,Parâmetros!$J$2:$K$5,2,FALSE),""))</f>
        <v/>
      </c>
      <c r="Y679" s="4">
        <f>IF(OR(C679="",X679=""),"",C679+X679)</f>
        <v/>
      </c>
      <c r="Z679" s="5">
        <f>IF(C679="","",IF(Q679="Concluído","Concluído",IF(Y679&lt;TODAY(),"Vencido",IF(Y679-TODAY()&lt;=2,"A vencer","No prazo"))))</f>
        <v/>
      </c>
      <c r="AA679" s="3">
        <f>IF(OR(Y679="",Q679="Concluído"),"",Y679-TODAY())</f>
        <v/>
      </c>
      <c r="AB679" s="5" t="n"/>
      <c r="AC679" s="5" t="n"/>
      <c r="AD679" s="4" t="n"/>
    </row>
    <row r="680">
      <c r="A680" s="3">
        <f>IF(C680="","",ROW()-1)</f>
        <v/>
      </c>
      <c r="B680" s="4" t="n"/>
      <c r="C680" s="4" t="n"/>
      <c r="D680" s="5" t="n"/>
      <c r="E680" s="5" t="n"/>
      <c r="F680" s="5" t="n"/>
      <c r="G680" s="5" t="n"/>
      <c r="H680" s="5" t="n"/>
      <c r="I680" s="5" t="n"/>
      <c r="J680" s="5" t="n"/>
      <c r="K680" s="6" t="n"/>
      <c r="L680" s="6" t="n"/>
      <c r="M680" s="6" t="n"/>
      <c r="N680" s="5" t="n"/>
      <c r="O680" s="21" t="n"/>
      <c r="P680" s="5" t="n"/>
      <c r="Q680" s="5" t="n"/>
      <c r="R680" s="6" t="n"/>
      <c r="S680" s="4" t="n"/>
      <c r="T680" s="4" t="n"/>
      <c r="U680" s="3">
        <f>IF(C680="","",IF(T680="",TODAY()-C680,T680-C680))</f>
        <v/>
      </c>
      <c r="V680" s="5" t="n"/>
      <c r="W680" s="6" t="n"/>
      <c r="X680" s="3">
        <f>IF(P680="","",IFERROR(VLOOKUP(P680,Parâmetros!$J$2:$K$5,2,FALSE),""))</f>
        <v/>
      </c>
      <c r="Y680" s="4">
        <f>IF(OR(C680="",X680=""),"",C680+X680)</f>
        <v/>
      </c>
      <c r="Z680" s="5">
        <f>IF(C680="","",IF(Q680="Concluído","Concluído",IF(Y680&lt;TODAY(),"Vencido",IF(Y680-TODAY()&lt;=2,"A vencer","No prazo"))))</f>
        <v/>
      </c>
      <c r="AA680" s="3">
        <f>IF(OR(Y680="",Q680="Concluído"),"",Y680-TODAY())</f>
        <v/>
      </c>
      <c r="AB680" s="5" t="n"/>
      <c r="AC680" s="5" t="n"/>
      <c r="AD680" s="4" t="n"/>
    </row>
    <row r="681">
      <c r="A681" s="3">
        <f>IF(C681="","",ROW()-1)</f>
        <v/>
      </c>
      <c r="B681" s="4" t="n"/>
      <c r="C681" s="4" t="n"/>
      <c r="D681" s="5" t="n"/>
      <c r="E681" s="5" t="n"/>
      <c r="F681" s="5" t="n"/>
      <c r="G681" s="5" t="n"/>
      <c r="H681" s="5" t="n"/>
      <c r="I681" s="5" t="n"/>
      <c r="J681" s="5" t="n"/>
      <c r="K681" s="6" t="n"/>
      <c r="L681" s="6" t="n"/>
      <c r="M681" s="6" t="n"/>
      <c r="N681" s="5" t="n"/>
      <c r="O681" s="21" t="n"/>
      <c r="P681" s="5" t="n"/>
      <c r="Q681" s="5" t="n"/>
      <c r="R681" s="6" t="n"/>
      <c r="S681" s="4" t="n"/>
      <c r="T681" s="4" t="n"/>
      <c r="U681" s="3">
        <f>IF(C681="","",IF(T681="",TODAY()-C681,T681-C681))</f>
        <v/>
      </c>
      <c r="V681" s="5" t="n"/>
      <c r="W681" s="6" t="n"/>
      <c r="X681" s="3">
        <f>IF(P681="","",IFERROR(VLOOKUP(P681,Parâmetros!$J$2:$K$5,2,FALSE),""))</f>
        <v/>
      </c>
      <c r="Y681" s="4">
        <f>IF(OR(C681="",X681=""),"",C681+X681)</f>
        <v/>
      </c>
      <c r="Z681" s="5">
        <f>IF(C681="","",IF(Q681="Concluído","Concluído",IF(Y681&lt;TODAY(),"Vencido",IF(Y681-TODAY()&lt;=2,"A vencer","No prazo"))))</f>
        <v/>
      </c>
      <c r="AA681" s="3">
        <f>IF(OR(Y681="",Q681="Concluído"),"",Y681-TODAY())</f>
        <v/>
      </c>
      <c r="AB681" s="5" t="n"/>
      <c r="AC681" s="5" t="n"/>
      <c r="AD681" s="4" t="n"/>
    </row>
    <row r="682">
      <c r="A682" s="3">
        <f>IF(C682="","",ROW()-1)</f>
        <v/>
      </c>
      <c r="B682" s="4" t="n"/>
      <c r="C682" s="4" t="n"/>
      <c r="D682" s="5" t="n"/>
      <c r="E682" s="5" t="n"/>
      <c r="F682" s="5" t="n"/>
      <c r="G682" s="5" t="n"/>
      <c r="H682" s="5" t="n"/>
      <c r="I682" s="5" t="n"/>
      <c r="J682" s="5" t="n"/>
      <c r="K682" s="6" t="n"/>
      <c r="L682" s="6" t="n"/>
      <c r="M682" s="6" t="n"/>
      <c r="N682" s="5" t="n"/>
      <c r="O682" s="21" t="n"/>
      <c r="P682" s="5" t="n"/>
      <c r="Q682" s="5" t="n"/>
      <c r="R682" s="6" t="n"/>
      <c r="S682" s="4" t="n"/>
      <c r="T682" s="4" t="n"/>
      <c r="U682" s="3">
        <f>IF(C682="","",IF(T682="",TODAY()-C682,T682-C682))</f>
        <v/>
      </c>
      <c r="V682" s="5" t="n"/>
      <c r="W682" s="6" t="n"/>
      <c r="X682" s="3">
        <f>IF(P682="","",IFERROR(VLOOKUP(P682,Parâmetros!$J$2:$K$5,2,FALSE),""))</f>
        <v/>
      </c>
      <c r="Y682" s="4">
        <f>IF(OR(C682="",X682=""),"",C682+X682)</f>
        <v/>
      </c>
      <c r="Z682" s="5">
        <f>IF(C682="","",IF(Q682="Concluído","Concluído",IF(Y682&lt;TODAY(),"Vencido",IF(Y682-TODAY()&lt;=2,"A vencer","No prazo"))))</f>
        <v/>
      </c>
      <c r="AA682" s="3">
        <f>IF(OR(Y682="",Q682="Concluído"),"",Y682-TODAY())</f>
        <v/>
      </c>
      <c r="AB682" s="5" t="n"/>
      <c r="AC682" s="5" t="n"/>
      <c r="AD682" s="4" t="n"/>
    </row>
    <row r="683">
      <c r="A683" s="3">
        <f>IF(C683="","",ROW()-1)</f>
        <v/>
      </c>
      <c r="B683" s="4" t="n"/>
      <c r="C683" s="4" t="n"/>
      <c r="D683" s="5" t="n"/>
      <c r="E683" s="5" t="n"/>
      <c r="F683" s="5" t="n"/>
      <c r="G683" s="5" t="n"/>
      <c r="H683" s="5" t="n"/>
      <c r="I683" s="5" t="n"/>
      <c r="J683" s="5" t="n"/>
      <c r="K683" s="6" t="n"/>
      <c r="L683" s="6" t="n"/>
      <c r="M683" s="6" t="n"/>
      <c r="N683" s="5" t="n"/>
      <c r="O683" s="21" t="n"/>
      <c r="P683" s="5" t="n"/>
      <c r="Q683" s="5" t="n"/>
      <c r="R683" s="6" t="n"/>
      <c r="S683" s="4" t="n"/>
      <c r="T683" s="4" t="n"/>
      <c r="U683" s="3">
        <f>IF(C683="","",IF(T683="",TODAY()-C683,T683-C683))</f>
        <v/>
      </c>
      <c r="V683" s="5" t="n"/>
      <c r="W683" s="6" t="n"/>
      <c r="X683" s="3">
        <f>IF(P683="","",IFERROR(VLOOKUP(P683,Parâmetros!$J$2:$K$5,2,FALSE),""))</f>
        <v/>
      </c>
      <c r="Y683" s="4">
        <f>IF(OR(C683="",X683=""),"",C683+X683)</f>
        <v/>
      </c>
      <c r="Z683" s="5">
        <f>IF(C683="","",IF(Q683="Concluído","Concluído",IF(Y683&lt;TODAY(),"Vencido",IF(Y683-TODAY()&lt;=2,"A vencer","No prazo"))))</f>
        <v/>
      </c>
      <c r="AA683" s="3">
        <f>IF(OR(Y683="",Q683="Concluído"),"",Y683-TODAY())</f>
        <v/>
      </c>
      <c r="AB683" s="5" t="n"/>
      <c r="AC683" s="5" t="n"/>
      <c r="AD683" s="4" t="n"/>
    </row>
    <row r="684">
      <c r="A684" s="3">
        <f>IF(C684="","",ROW()-1)</f>
        <v/>
      </c>
      <c r="B684" s="4" t="n"/>
      <c r="C684" s="4" t="n"/>
      <c r="D684" s="5" t="n"/>
      <c r="E684" s="5" t="n"/>
      <c r="F684" s="5" t="n"/>
      <c r="G684" s="5" t="n"/>
      <c r="H684" s="5" t="n"/>
      <c r="I684" s="5" t="n"/>
      <c r="J684" s="5" t="n"/>
      <c r="K684" s="6" t="n"/>
      <c r="L684" s="6" t="n"/>
      <c r="M684" s="6" t="n"/>
      <c r="N684" s="5" t="n"/>
      <c r="O684" s="21" t="n"/>
      <c r="P684" s="5" t="n"/>
      <c r="Q684" s="5" t="n"/>
      <c r="R684" s="6" t="n"/>
      <c r="S684" s="4" t="n"/>
      <c r="T684" s="4" t="n"/>
      <c r="U684" s="3">
        <f>IF(C684="","",IF(T684="",TODAY()-C684,T684-C684))</f>
        <v/>
      </c>
      <c r="V684" s="5" t="n"/>
      <c r="W684" s="6" t="n"/>
      <c r="X684" s="3">
        <f>IF(P684="","",IFERROR(VLOOKUP(P684,Parâmetros!$J$2:$K$5,2,FALSE),""))</f>
        <v/>
      </c>
      <c r="Y684" s="4">
        <f>IF(OR(C684="",X684=""),"",C684+X684)</f>
        <v/>
      </c>
      <c r="Z684" s="5">
        <f>IF(C684="","",IF(Q684="Concluído","Concluído",IF(Y684&lt;TODAY(),"Vencido",IF(Y684-TODAY()&lt;=2,"A vencer","No prazo"))))</f>
        <v/>
      </c>
      <c r="AA684" s="3">
        <f>IF(OR(Y684="",Q684="Concluído"),"",Y684-TODAY())</f>
        <v/>
      </c>
      <c r="AB684" s="5" t="n"/>
      <c r="AC684" s="5" t="n"/>
      <c r="AD684" s="4" t="n"/>
    </row>
    <row r="685">
      <c r="A685" s="3">
        <f>IF(C685="","",ROW()-1)</f>
        <v/>
      </c>
      <c r="B685" s="4" t="n"/>
      <c r="C685" s="4" t="n"/>
      <c r="D685" s="5" t="n"/>
      <c r="E685" s="5" t="n"/>
      <c r="F685" s="5" t="n"/>
      <c r="G685" s="5" t="n"/>
      <c r="H685" s="5" t="n"/>
      <c r="I685" s="5" t="n"/>
      <c r="J685" s="5" t="n"/>
      <c r="K685" s="6" t="n"/>
      <c r="L685" s="6" t="n"/>
      <c r="M685" s="6" t="n"/>
      <c r="N685" s="5" t="n"/>
      <c r="O685" s="21" t="n"/>
      <c r="P685" s="5" t="n"/>
      <c r="Q685" s="5" t="n"/>
      <c r="R685" s="6" t="n"/>
      <c r="S685" s="4" t="n"/>
      <c r="T685" s="4" t="n"/>
      <c r="U685" s="3">
        <f>IF(C685="","",IF(T685="",TODAY()-C685,T685-C685))</f>
        <v/>
      </c>
      <c r="V685" s="5" t="n"/>
      <c r="W685" s="6" t="n"/>
      <c r="X685" s="3">
        <f>IF(P685="","",IFERROR(VLOOKUP(P685,Parâmetros!$J$2:$K$5,2,FALSE),""))</f>
        <v/>
      </c>
      <c r="Y685" s="4">
        <f>IF(OR(C685="",X685=""),"",C685+X685)</f>
        <v/>
      </c>
      <c r="Z685" s="5">
        <f>IF(C685="","",IF(Q685="Concluído","Concluído",IF(Y685&lt;TODAY(),"Vencido",IF(Y685-TODAY()&lt;=2,"A vencer","No prazo"))))</f>
        <v/>
      </c>
      <c r="AA685" s="3">
        <f>IF(OR(Y685="",Q685="Concluído"),"",Y685-TODAY())</f>
        <v/>
      </c>
      <c r="AB685" s="5" t="n"/>
      <c r="AC685" s="5" t="n"/>
      <c r="AD685" s="4" t="n"/>
    </row>
    <row r="686">
      <c r="A686" s="3">
        <f>IF(C686="","",ROW()-1)</f>
        <v/>
      </c>
      <c r="B686" s="4" t="n"/>
      <c r="C686" s="4" t="n"/>
      <c r="D686" s="5" t="n"/>
      <c r="E686" s="5" t="n"/>
      <c r="F686" s="5" t="n"/>
      <c r="G686" s="5" t="n"/>
      <c r="H686" s="5" t="n"/>
      <c r="I686" s="5" t="n"/>
      <c r="J686" s="5" t="n"/>
      <c r="K686" s="6" t="n"/>
      <c r="L686" s="6" t="n"/>
      <c r="M686" s="6" t="n"/>
      <c r="N686" s="5" t="n"/>
      <c r="O686" s="21" t="n"/>
      <c r="P686" s="5" t="n"/>
      <c r="Q686" s="5" t="n"/>
      <c r="R686" s="6" t="n"/>
      <c r="S686" s="4" t="n"/>
      <c r="T686" s="4" t="n"/>
      <c r="U686" s="3">
        <f>IF(C686="","",IF(T686="",TODAY()-C686,T686-C686))</f>
        <v/>
      </c>
      <c r="V686" s="5" t="n"/>
      <c r="W686" s="6" t="n"/>
      <c r="X686" s="3">
        <f>IF(P686="","",IFERROR(VLOOKUP(P686,Parâmetros!$J$2:$K$5,2,FALSE),""))</f>
        <v/>
      </c>
      <c r="Y686" s="4">
        <f>IF(OR(C686="",X686=""),"",C686+X686)</f>
        <v/>
      </c>
      <c r="Z686" s="5">
        <f>IF(C686="","",IF(Q686="Concluído","Concluído",IF(Y686&lt;TODAY(),"Vencido",IF(Y686-TODAY()&lt;=2,"A vencer","No prazo"))))</f>
        <v/>
      </c>
      <c r="AA686" s="3">
        <f>IF(OR(Y686="",Q686="Concluído"),"",Y686-TODAY())</f>
        <v/>
      </c>
      <c r="AB686" s="5" t="n"/>
      <c r="AC686" s="5" t="n"/>
      <c r="AD686" s="4" t="n"/>
    </row>
    <row r="687">
      <c r="A687" s="3">
        <f>IF(C687="","",ROW()-1)</f>
        <v/>
      </c>
      <c r="B687" s="4" t="n"/>
      <c r="C687" s="4" t="n"/>
      <c r="D687" s="5" t="n"/>
      <c r="E687" s="5" t="n"/>
      <c r="F687" s="5" t="n"/>
      <c r="G687" s="5" t="n"/>
      <c r="H687" s="5" t="n"/>
      <c r="I687" s="5" t="n"/>
      <c r="J687" s="5" t="n"/>
      <c r="K687" s="6" t="n"/>
      <c r="L687" s="6" t="n"/>
      <c r="M687" s="6" t="n"/>
      <c r="N687" s="5" t="n"/>
      <c r="O687" s="21" t="n"/>
      <c r="P687" s="5" t="n"/>
      <c r="Q687" s="5" t="n"/>
      <c r="R687" s="6" t="n"/>
      <c r="S687" s="4" t="n"/>
      <c r="T687" s="4" t="n"/>
      <c r="U687" s="3">
        <f>IF(C687="","",IF(T687="",TODAY()-C687,T687-C687))</f>
        <v/>
      </c>
      <c r="V687" s="5" t="n"/>
      <c r="W687" s="6" t="n"/>
      <c r="X687" s="3">
        <f>IF(P687="","",IFERROR(VLOOKUP(P687,Parâmetros!$J$2:$K$5,2,FALSE),""))</f>
        <v/>
      </c>
      <c r="Y687" s="4">
        <f>IF(OR(C687="",X687=""),"",C687+X687)</f>
        <v/>
      </c>
      <c r="Z687" s="5">
        <f>IF(C687="","",IF(Q687="Concluído","Concluído",IF(Y687&lt;TODAY(),"Vencido",IF(Y687-TODAY()&lt;=2,"A vencer","No prazo"))))</f>
        <v/>
      </c>
      <c r="AA687" s="3">
        <f>IF(OR(Y687="",Q687="Concluído"),"",Y687-TODAY())</f>
        <v/>
      </c>
      <c r="AB687" s="5" t="n"/>
      <c r="AC687" s="5" t="n"/>
      <c r="AD687" s="4" t="n"/>
    </row>
    <row r="688">
      <c r="A688" s="3">
        <f>IF(C688="","",ROW()-1)</f>
        <v/>
      </c>
      <c r="B688" s="4" t="n"/>
      <c r="C688" s="4" t="n"/>
      <c r="D688" s="5" t="n"/>
      <c r="E688" s="5" t="n"/>
      <c r="F688" s="5" t="n"/>
      <c r="G688" s="5" t="n"/>
      <c r="H688" s="5" t="n"/>
      <c r="I688" s="5" t="n"/>
      <c r="J688" s="5" t="n"/>
      <c r="K688" s="6" t="n"/>
      <c r="L688" s="6" t="n"/>
      <c r="M688" s="6" t="n"/>
      <c r="N688" s="5" t="n"/>
      <c r="O688" s="21" t="n"/>
      <c r="P688" s="5" t="n"/>
      <c r="Q688" s="5" t="n"/>
      <c r="R688" s="6" t="n"/>
      <c r="S688" s="4" t="n"/>
      <c r="T688" s="4" t="n"/>
      <c r="U688" s="3">
        <f>IF(C688="","",IF(T688="",TODAY()-C688,T688-C688))</f>
        <v/>
      </c>
      <c r="V688" s="5" t="n"/>
      <c r="W688" s="6" t="n"/>
      <c r="X688" s="3">
        <f>IF(P688="","",IFERROR(VLOOKUP(P688,Parâmetros!$J$2:$K$5,2,FALSE),""))</f>
        <v/>
      </c>
      <c r="Y688" s="4">
        <f>IF(OR(C688="",X688=""),"",C688+X688)</f>
        <v/>
      </c>
      <c r="Z688" s="5">
        <f>IF(C688="","",IF(Q688="Concluído","Concluído",IF(Y688&lt;TODAY(),"Vencido",IF(Y688-TODAY()&lt;=2,"A vencer","No prazo"))))</f>
        <v/>
      </c>
      <c r="AA688" s="3">
        <f>IF(OR(Y688="",Q688="Concluído"),"",Y688-TODAY())</f>
        <v/>
      </c>
      <c r="AB688" s="5" t="n"/>
      <c r="AC688" s="5" t="n"/>
      <c r="AD688" s="4" t="n"/>
    </row>
    <row r="689">
      <c r="A689" s="3">
        <f>IF(C689="","",ROW()-1)</f>
        <v/>
      </c>
      <c r="B689" s="4" t="n"/>
      <c r="C689" s="4" t="n"/>
      <c r="D689" s="5" t="n"/>
      <c r="E689" s="5" t="n"/>
      <c r="F689" s="5" t="n"/>
      <c r="G689" s="5" t="n"/>
      <c r="H689" s="5" t="n"/>
      <c r="I689" s="5" t="n"/>
      <c r="J689" s="5" t="n"/>
      <c r="K689" s="6" t="n"/>
      <c r="L689" s="6" t="n"/>
      <c r="M689" s="6" t="n"/>
      <c r="N689" s="5" t="n"/>
      <c r="O689" s="21" t="n"/>
      <c r="P689" s="5" t="n"/>
      <c r="Q689" s="5" t="n"/>
      <c r="R689" s="6" t="n"/>
      <c r="S689" s="4" t="n"/>
      <c r="T689" s="4" t="n"/>
      <c r="U689" s="3">
        <f>IF(C689="","",IF(T689="",TODAY()-C689,T689-C689))</f>
        <v/>
      </c>
      <c r="V689" s="5" t="n"/>
      <c r="W689" s="6" t="n"/>
      <c r="X689" s="3">
        <f>IF(P689="","",IFERROR(VLOOKUP(P689,Parâmetros!$J$2:$K$5,2,FALSE),""))</f>
        <v/>
      </c>
      <c r="Y689" s="4">
        <f>IF(OR(C689="",X689=""),"",C689+X689)</f>
        <v/>
      </c>
      <c r="Z689" s="5">
        <f>IF(C689="","",IF(Q689="Concluído","Concluído",IF(Y689&lt;TODAY(),"Vencido",IF(Y689-TODAY()&lt;=2,"A vencer","No prazo"))))</f>
        <v/>
      </c>
      <c r="AA689" s="3">
        <f>IF(OR(Y689="",Q689="Concluído"),"",Y689-TODAY())</f>
        <v/>
      </c>
      <c r="AB689" s="5" t="n"/>
      <c r="AC689" s="5" t="n"/>
      <c r="AD689" s="4" t="n"/>
    </row>
    <row r="690">
      <c r="A690" s="3">
        <f>IF(C690="","",ROW()-1)</f>
        <v/>
      </c>
      <c r="B690" s="4" t="n"/>
      <c r="C690" s="4" t="n"/>
      <c r="D690" s="5" t="n"/>
      <c r="E690" s="5" t="n"/>
      <c r="F690" s="5" t="n"/>
      <c r="G690" s="5" t="n"/>
      <c r="H690" s="5" t="n"/>
      <c r="I690" s="5" t="n"/>
      <c r="J690" s="5" t="n"/>
      <c r="K690" s="6" t="n"/>
      <c r="L690" s="6" t="n"/>
      <c r="M690" s="6" t="n"/>
      <c r="N690" s="5" t="n"/>
      <c r="O690" s="21" t="n"/>
      <c r="P690" s="5" t="n"/>
      <c r="Q690" s="5" t="n"/>
      <c r="R690" s="6" t="n"/>
      <c r="S690" s="4" t="n"/>
      <c r="T690" s="4" t="n"/>
      <c r="U690" s="3">
        <f>IF(C690="","",IF(T690="",TODAY()-C690,T690-C690))</f>
        <v/>
      </c>
      <c r="V690" s="5" t="n"/>
      <c r="W690" s="6" t="n"/>
      <c r="X690" s="3">
        <f>IF(P690="","",IFERROR(VLOOKUP(P690,Parâmetros!$J$2:$K$5,2,FALSE),""))</f>
        <v/>
      </c>
      <c r="Y690" s="4">
        <f>IF(OR(C690="",X690=""),"",C690+X690)</f>
        <v/>
      </c>
      <c r="Z690" s="5">
        <f>IF(C690="","",IF(Q690="Concluído","Concluído",IF(Y690&lt;TODAY(),"Vencido",IF(Y690-TODAY()&lt;=2,"A vencer","No prazo"))))</f>
        <v/>
      </c>
      <c r="AA690" s="3">
        <f>IF(OR(Y690="",Q690="Concluído"),"",Y690-TODAY())</f>
        <v/>
      </c>
      <c r="AB690" s="5" t="n"/>
      <c r="AC690" s="5" t="n"/>
      <c r="AD690" s="4" t="n"/>
    </row>
    <row r="691">
      <c r="A691" s="3">
        <f>IF(C691="","",ROW()-1)</f>
        <v/>
      </c>
      <c r="B691" s="4" t="n"/>
      <c r="C691" s="4" t="n"/>
      <c r="D691" s="5" t="n"/>
      <c r="E691" s="5" t="n"/>
      <c r="F691" s="5" t="n"/>
      <c r="G691" s="5" t="n"/>
      <c r="H691" s="5" t="n"/>
      <c r="I691" s="5" t="n"/>
      <c r="J691" s="5" t="n"/>
      <c r="K691" s="6" t="n"/>
      <c r="L691" s="6" t="n"/>
      <c r="M691" s="6" t="n"/>
      <c r="N691" s="5" t="n"/>
      <c r="O691" s="21" t="n"/>
      <c r="P691" s="5" t="n"/>
      <c r="Q691" s="5" t="n"/>
      <c r="R691" s="6" t="n"/>
      <c r="S691" s="4" t="n"/>
      <c r="T691" s="4" t="n"/>
      <c r="U691" s="3">
        <f>IF(C691="","",IF(T691="",TODAY()-C691,T691-C691))</f>
        <v/>
      </c>
      <c r="V691" s="5" t="n"/>
      <c r="W691" s="6" t="n"/>
      <c r="X691" s="3">
        <f>IF(P691="","",IFERROR(VLOOKUP(P691,Parâmetros!$J$2:$K$5,2,FALSE),""))</f>
        <v/>
      </c>
      <c r="Y691" s="4">
        <f>IF(OR(C691="",X691=""),"",C691+X691)</f>
        <v/>
      </c>
      <c r="Z691" s="5">
        <f>IF(C691="","",IF(Q691="Concluído","Concluído",IF(Y691&lt;TODAY(),"Vencido",IF(Y691-TODAY()&lt;=2,"A vencer","No prazo"))))</f>
        <v/>
      </c>
      <c r="AA691" s="3">
        <f>IF(OR(Y691="",Q691="Concluído"),"",Y691-TODAY())</f>
        <v/>
      </c>
      <c r="AB691" s="5" t="n"/>
      <c r="AC691" s="5" t="n"/>
      <c r="AD691" s="4" t="n"/>
    </row>
    <row r="692">
      <c r="A692" s="3">
        <f>IF(C692="","",ROW()-1)</f>
        <v/>
      </c>
      <c r="B692" s="4" t="n"/>
      <c r="C692" s="4" t="n"/>
      <c r="D692" s="5" t="n"/>
      <c r="E692" s="5" t="n"/>
      <c r="F692" s="5" t="n"/>
      <c r="G692" s="5" t="n"/>
      <c r="H692" s="5" t="n"/>
      <c r="I692" s="5" t="n"/>
      <c r="J692" s="5" t="n"/>
      <c r="K692" s="6" t="n"/>
      <c r="L692" s="6" t="n"/>
      <c r="M692" s="6" t="n"/>
      <c r="N692" s="5" t="n"/>
      <c r="O692" s="21" t="n"/>
      <c r="P692" s="5" t="n"/>
      <c r="Q692" s="5" t="n"/>
      <c r="R692" s="6" t="n"/>
      <c r="S692" s="4" t="n"/>
      <c r="T692" s="4" t="n"/>
      <c r="U692" s="3">
        <f>IF(C692="","",IF(T692="",TODAY()-C692,T692-C692))</f>
        <v/>
      </c>
      <c r="V692" s="5" t="n"/>
      <c r="W692" s="6" t="n"/>
      <c r="X692" s="3">
        <f>IF(P692="","",IFERROR(VLOOKUP(P692,Parâmetros!$J$2:$K$5,2,FALSE),""))</f>
        <v/>
      </c>
      <c r="Y692" s="4">
        <f>IF(OR(C692="",X692=""),"",C692+X692)</f>
        <v/>
      </c>
      <c r="Z692" s="5">
        <f>IF(C692="","",IF(Q692="Concluído","Concluído",IF(Y692&lt;TODAY(),"Vencido",IF(Y692-TODAY()&lt;=2,"A vencer","No prazo"))))</f>
        <v/>
      </c>
      <c r="AA692" s="3">
        <f>IF(OR(Y692="",Q692="Concluído"),"",Y692-TODAY())</f>
        <v/>
      </c>
      <c r="AB692" s="5" t="n"/>
      <c r="AC692" s="5" t="n"/>
      <c r="AD692" s="4" t="n"/>
    </row>
    <row r="693">
      <c r="A693" s="3">
        <f>IF(C693="","",ROW()-1)</f>
        <v/>
      </c>
      <c r="B693" s="4" t="n"/>
      <c r="C693" s="4" t="n"/>
      <c r="D693" s="5" t="n"/>
      <c r="E693" s="5" t="n"/>
      <c r="F693" s="5" t="n"/>
      <c r="G693" s="5" t="n"/>
      <c r="H693" s="5" t="n"/>
      <c r="I693" s="5" t="n"/>
      <c r="J693" s="5" t="n"/>
      <c r="K693" s="6" t="n"/>
      <c r="L693" s="6" t="n"/>
      <c r="M693" s="6" t="n"/>
      <c r="N693" s="5" t="n"/>
      <c r="O693" s="21" t="n"/>
      <c r="P693" s="5" t="n"/>
      <c r="Q693" s="5" t="n"/>
      <c r="R693" s="6" t="n"/>
      <c r="S693" s="4" t="n"/>
      <c r="T693" s="4" t="n"/>
      <c r="U693" s="3">
        <f>IF(C693="","",IF(T693="",TODAY()-C693,T693-C693))</f>
        <v/>
      </c>
      <c r="V693" s="5" t="n"/>
      <c r="W693" s="6" t="n"/>
      <c r="X693" s="3">
        <f>IF(P693="","",IFERROR(VLOOKUP(P693,Parâmetros!$J$2:$K$5,2,FALSE),""))</f>
        <v/>
      </c>
      <c r="Y693" s="4">
        <f>IF(OR(C693="",X693=""),"",C693+X693)</f>
        <v/>
      </c>
      <c r="Z693" s="5">
        <f>IF(C693="","",IF(Q693="Concluído","Concluído",IF(Y693&lt;TODAY(),"Vencido",IF(Y693-TODAY()&lt;=2,"A vencer","No prazo"))))</f>
        <v/>
      </c>
      <c r="AA693" s="3">
        <f>IF(OR(Y693="",Q693="Concluído"),"",Y693-TODAY())</f>
        <v/>
      </c>
      <c r="AB693" s="5" t="n"/>
      <c r="AC693" s="5" t="n"/>
      <c r="AD693" s="4" t="n"/>
    </row>
    <row r="694">
      <c r="A694" s="3">
        <f>IF(C694="","",ROW()-1)</f>
        <v/>
      </c>
      <c r="B694" s="4" t="n"/>
      <c r="C694" s="4" t="n"/>
      <c r="D694" s="5" t="n"/>
      <c r="E694" s="5" t="n"/>
      <c r="F694" s="5" t="n"/>
      <c r="G694" s="5" t="n"/>
      <c r="H694" s="5" t="n"/>
      <c r="I694" s="5" t="n"/>
      <c r="J694" s="5" t="n"/>
      <c r="K694" s="6" t="n"/>
      <c r="L694" s="6" t="n"/>
      <c r="M694" s="6" t="n"/>
      <c r="N694" s="5" t="n"/>
      <c r="O694" s="21" t="n"/>
      <c r="P694" s="5" t="n"/>
      <c r="Q694" s="5" t="n"/>
      <c r="R694" s="6" t="n"/>
      <c r="S694" s="4" t="n"/>
      <c r="T694" s="4" t="n"/>
      <c r="U694" s="3">
        <f>IF(C694="","",IF(T694="",TODAY()-C694,T694-C694))</f>
        <v/>
      </c>
      <c r="V694" s="5" t="n"/>
      <c r="W694" s="6" t="n"/>
      <c r="X694" s="3">
        <f>IF(P694="","",IFERROR(VLOOKUP(P694,Parâmetros!$J$2:$K$5,2,FALSE),""))</f>
        <v/>
      </c>
      <c r="Y694" s="4">
        <f>IF(OR(C694="",X694=""),"",C694+X694)</f>
        <v/>
      </c>
      <c r="Z694" s="5">
        <f>IF(C694="","",IF(Q694="Concluído","Concluído",IF(Y694&lt;TODAY(),"Vencido",IF(Y694-TODAY()&lt;=2,"A vencer","No prazo"))))</f>
        <v/>
      </c>
      <c r="AA694" s="3">
        <f>IF(OR(Y694="",Q694="Concluído"),"",Y694-TODAY())</f>
        <v/>
      </c>
      <c r="AB694" s="5" t="n"/>
      <c r="AC694" s="5" t="n"/>
      <c r="AD694" s="4" t="n"/>
    </row>
    <row r="695">
      <c r="A695" s="3">
        <f>IF(C695="","",ROW()-1)</f>
        <v/>
      </c>
      <c r="B695" s="4" t="n"/>
      <c r="C695" s="4" t="n"/>
      <c r="D695" s="5" t="n"/>
      <c r="E695" s="5" t="n"/>
      <c r="F695" s="5" t="n"/>
      <c r="G695" s="5" t="n"/>
      <c r="H695" s="5" t="n"/>
      <c r="I695" s="5" t="n"/>
      <c r="J695" s="5" t="n"/>
      <c r="K695" s="6" t="n"/>
      <c r="L695" s="6" t="n"/>
      <c r="M695" s="6" t="n"/>
      <c r="N695" s="5" t="n"/>
      <c r="O695" s="21" t="n"/>
      <c r="P695" s="5" t="n"/>
      <c r="Q695" s="5" t="n"/>
      <c r="R695" s="6" t="n"/>
      <c r="S695" s="4" t="n"/>
      <c r="T695" s="4" t="n"/>
      <c r="U695" s="3">
        <f>IF(C695="","",IF(T695="",TODAY()-C695,T695-C695))</f>
        <v/>
      </c>
      <c r="V695" s="5" t="n"/>
      <c r="W695" s="6" t="n"/>
      <c r="X695" s="3">
        <f>IF(P695="","",IFERROR(VLOOKUP(P695,Parâmetros!$J$2:$K$5,2,FALSE),""))</f>
        <v/>
      </c>
      <c r="Y695" s="4">
        <f>IF(OR(C695="",X695=""),"",C695+X695)</f>
        <v/>
      </c>
      <c r="Z695" s="5">
        <f>IF(C695="","",IF(Q695="Concluído","Concluído",IF(Y695&lt;TODAY(),"Vencido",IF(Y695-TODAY()&lt;=2,"A vencer","No prazo"))))</f>
        <v/>
      </c>
      <c r="AA695" s="3">
        <f>IF(OR(Y695="",Q695="Concluído"),"",Y695-TODAY())</f>
        <v/>
      </c>
      <c r="AB695" s="5" t="n"/>
      <c r="AC695" s="5" t="n"/>
      <c r="AD695" s="4" t="n"/>
    </row>
    <row r="696">
      <c r="A696" s="3">
        <f>IF(C696="","",ROW()-1)</f>
        <v/>
      </c>
      <c r="B696" s="4" t="n"/>
      <c r="C696" s="4" t="n"/>
      <c r="D696" s="5" t="n"/>
      <c r="E696" s="5" t="n"/>
      <c r="F696" s="5" t="n"/>
      <c r="G696" s="5" t="n"/>
      <c r="H696" s="5" t="n"/>
      <c r="I696" s="5" t="n"/>
      <c r="J696" s="5" t="n"/>
      <c r="K696" s="6" t="n"/>
      <c r="L696" s="6" t="n"/>
      <c r="M696" s="6" t="n"/>
      <c r="N696" s="5" t="n"/>
      <c r="O696" s="21" t="n"/>
      <c r="P696" s="5" t="n"/>
      <c r="Q696" s="5" t="n"/>
      <c r="R696" s="6" t="n"/>
      <c r="S696" s="4" t="n"/>
      <c r="T696" s="4" t="n"/>
      <c r="U696" s="3">
        <f>IF(C696="","",IF(T696="",TODAY()-C696,T696-C696))</f>
        <v/>
      </c>
      <c r="V696" s="5" t="n"/>
      <c r="W696" s="6" t="n"/>
      <c r="X696" s="3">
        <f>IF(P696="","",IFERROR(VLOOKUP(P696,Parâmetros!$J$2:$K$5,2,FALSE),""))</f>
        <v/>
      </c>
      <c r="Y696" s="4">
        <f>IF(OR(C696="",X696=""),"",C696+X696)</f>
        <v/>
      </c>
      <c r="Z696" s="5">
        <f>IF(C696="","",IF(Q696="Concluído","Concluído",IF(Y696&lt;TODAY(),"Vencido",IF(Y696-TODAY()&lt;=2,"A vencer","No prazo"))))</f>
        <v/>
      </c>
      <c r="AA696" s="3">
        <f>IF(OR(Y696="",Q696="Concluído"),"",Y696-TODAY())</f>
        <v/>
      </c>
      <c r="AB696" s="5" t="n"/>
      <c r="AC696" s="5" t="n"/>
      <c r="AD696" s="4" t="n"/>
    </row>
    <row r="697">
      <c r="A697" s="3">
        <f>IF(C697="","",ROW()-1)</f>
        <v/>
      </c>
      <c r="B697" s="4" t="n"/>
      <c r="C697" s="4" t="n"/>
      <c r="D697" s="5" t="n"/>
      <c r="E697" s="5" t="n"/>
      <c r="F697" s="5" t="n"/>
      <c r="G697" s="5" t="n"/>
      <c r="H697" s="5" t="n"/>
      <c r="I697" s="5" t="n"/>
      <c r="J697" s="5" t="n"/>
      <c r="K697" s="6" t="n"/>
      <c r="L697" s="6" t="n"/>
      <c r="M697" s="6" t="n"/>
      <c r="N697" s="5" t="n"/>
      <c r="O697" s="21" t="n"/>
      <c r="P697" s="5" t="n"/>
      <c r="Q697" s="5" t="n"/>
      <c r="R697" s="6" t="n"/>
      <c r="S697" s="4" t="n"/>
      <c r="T697" s="4" t="n"/>
      <c r="U697" s="3">
        <f>IF(C697="","",IF(T697="",TODAY()-C697,T697-C697))</f>
        <v/>
      </c>
      <c r="V697" s="5" t="n"/>
      <c r="W697" s="6" t="n"/>
      <c r="X697" s="3">
        <f>IF(P697="","",IFERROR(VLOOKUP(P697,Parâmetros!$J$2:$K$5,2,FALSE),""))</f>
        <v/>
      </c>
      <c r="Y697" s="4">
        <f>IF(OR(C697="",X697=""),"",C697+X697)</f>
        <v/>
      </c>
      <c r="Z697" s="5">
        <f>IF(C697="","",IF(Q697="Concluído","Concluído",IF(Y697&lt;TODAY(),"Vencido",IF(Y697-TODAY()&lt;=2,"A vencer","No prazo"))))</f>
        <v/>
      </c>
      <c r="AA697" s="3">
        <f>IF(OR(Y697="",Q697="Concluído"),"",Y697-TODAY())</f>
        <v/>
      </c>
      <c r="AB697" s="5" t="n"/>
      <c r="AC697" s="5" t="n"/>
      <c r="AD697" s="4" t="n"/>
    </row>
    <row r="698">
      <c r="A698" s="3">
        <f>IF(C698="","",ROW()-1)</f>
        <v/>
      </c>
      <c r="B698" s="4" t="n"/>
      <c r="C698" s="4" t="n"/>
      <c r="D698" s="5" t="n"/>
      <c r="E698" s="5" t="n"/>
      <c r="F698" s="5" t="n"/>
      <c r="G698" s="5" t="n"/>
      <c r="H698" s="5" t="n"/>
      <c r="I698" s="5" t="n"/>
      <c r="J698" s="5" t="n"/>
      <c r="K698" s="6" t="n"/>
      <c r="L698" s="6" t="n"/>
      <c r="M698" s="6" t="n"/>
      <c r="N698" s="5" t="n"/>
      <c r="O698" s="21" t="n"/>
      <c r="P698" s="5" t="n"/>
      <c r="Q698" s="5" t="n"/>
      <c r="R698" s="6" t="n"/>
      <c r="S698" s="4" t="n"/>
      <c r="T698" s="4" t="n"/>
      <c r="U698" s="3">
        <f>IF(C698="","",IF(T698="",TODAY()-C698,T698-C698))</f>
        <v/>
      </c>
      <c r="V698" s="5" t="n"/>
      <c r="W698" s="6" t="n"/>
      <c r="X698" s="3">
        <f>IF(P698="","",IFERROR(VLOOKUP(P698,Parâmetros!$J$2:$K$5,2,FALSE),""))</f>
        <v/>
      </c>
      <c r="Y698" s="4">
        <f>IF(OR(C698="",X698=""),"",C698+X698)</f>
        <v/>
      </c>
      <c r="Z698" s="5">
        <f>IF(C698="","",IF(Q698="Concluído","Concluído",IF(Y698&lt;TODAY(),"Vencido",IF(Y698-TODAY()&lt;=2,"A vencer","No prazo"))))</f>
        <v/>
      </c>
      <c r="AA698" s="3">
        <f>IF(OR(Y698="",Q698="Concluído"),"",Y698-TODAY())</f>
        <v/>
      </c>
      <c r="AB698" s="5" t="n"/>
      <c r="AC698" s="5" t="n"/>
      <c r="AD698" s="4" t="n"/>
    </row>
    <row r="699">
      <c r="A699" s="3">
        <f>IF(C699="","",ROW()-1)</f>
        <v/>
      </c>
      <c r="B699" s="4" t="n"/>
      <c r="C699" s="4" t="n"/>
      <c r="D699" s="5" t="n"/>
      <c r="E699" s="5" t="n"/>
      <c r="F699" s="5" t="n"/>
      <c r="G699" s="5" t="n"/>
      <c r="H699" s="5" t="n"/>
      <c r="I699" s="5" t="n"/>
      <c r="J699" s="5" t="n"/>
      <c r="K699" s="6" t="n"/>
      <c r="L699" s="6" t="n"/>
      <c r="M699" s="6" t="n"/>
      <c r="N699" s="5" t="n"/>
      <c r="O699" s="21" t="n"/>
      <c r="P699" s="5" t="n"/>
      <c r="Q699" s="5" t="n"/>
      <c r="R699" s="6" t="n"/>
      <c r="S699" s="4" t="n"/>
      <c r="T699" s="4" t="n"/>
      <c r="U699" s="3">
        <f>IF(C699="","",IF(T699="",TODAY()-C699,T699-C699))</f>
        <v/>
      </c>
      <c r="V699" s="5" t="n"/>
      <c r="W699" s="6" t="n"/>
      <c r="X699" s="3">
        <f>IF(P699="","",IFERROR(VLOOKUP(P699,Parâmetros!$J$2:$K$5,2,FALSE),""))</f>
        <v/>
      </c>
      <c r="Y699" s="4">
        <f>IF(OR(C699="",X699=""),"",C699+X699)</f>
        <v/>
      </c>
      <c r="Z699" s="5">
        <f>IF(C699="","",IF(Q699="Concluído","Concluído",IF(Y699&lt;TODAY(),"Vencido",IF(Y699-TODAY()&lt;=2,"A vencer","No prazo"))))</f>
        <v/>
      </c>
      <c r="AA699" s="3">
        <f>IF(OR(Y699="",Q699="Concluído"),"",Y699-TODAY())</f>
        <v/>
      </c>
      <c r="AB699" s="5" t="n"/>
      <c r="AC699" s="5" t="n"/>
      <c r="AD699" s="4" t="n"/>
    </row>
    <row r="700">
      <c r="A700" s="3">
        <f>IF(C700="","",ROW()-1)</f>
        <v/>
      </c>
      <c r="B700" s="4" t="n"/>
      <c r="C700" s="4" t="n"/>
      <c r="D700" s="5" t="n"/>
      <c r="E700" s="5" t="n"/>
      <c r="F700" s="5" t="n"/>
      <c r="G700" s="5" t="n"/>
      <c r="H700" s="5" t="n"/>
      <c r="I700" s="5" t="n"/>
      <c r="J700" s="5" t="n"/>
      <c r="K700" s="6" t="n"/>
      <c r="L700" s="6" t="n"/>
      <c r="M700" s="6" t="n"/>
      <c r="N700" s="5" t="n"/>
      <c r="O700" s="21" t="n"/>
      <c r="P700" s="5" t="n"/>
      <c r="Q700" s="5" t="n"/>
      <c r="R700" s="6" t="n"/>
      <c r="S700" s="4" t="n"/>
      <c r="T700" s="4" t="n"/>
      <c r="U700" s="3">
        <f>IF(C700="","",IF(T700="",TODAY()-C700,T700-C700))</f>
        <v/>
      </c>
      <c r="V700" s="5" t="n"/>
      <c r="W700" s="6" t="n"/>
      <c r="X700" s="3">
        <f>IF(P700="","",IFERROR(VLOOKUP(P700,Parâmetros!$J$2:$K$5,2,FALSE),""))</f>
        <v/>
      </c>
      <c r="Y700" s="4">
        <f>IF(OR(C700="",X700=""),"",C700+X700)</f>
        <v/>
      </c>
      <c r="Z700" s="5">
        <f>IF(C700="","",IF(Q700="Concluído","Concluído",IF(Y700&lt;TODAY(),"Vencido",IF(Y700-TODAY()&lt;=2,"A vencer","No prazo"))))</f>
        <v/>
      </c>
      <c r="AA700" s="3">
        <f>IF(OR(Y700="",Q700="Concluído"),"",Y700-TODAY())</f>
        <v/>
      </c>
      <c r="AB700" s="5" t="n"/>
      <c r="AC700" s="5" t="n"/>
      <c r="AD700" s="4" t="n"/>
    </row>
    <row r="701">
      <c r="A701" s="3">
        <f>IF(C701="","",ROW()-1)</f>
        <v/>
      </c>
      <c r="B701" s="4" t="n"/>
      <c r="C701" s="4" t="n"/>
      <c r="D701" s="5" t="n"/>
      <c r="E701" s="5" t="n"/>
      <c r="F701" s="5" t="n"/>
      <c r="G701" s="5" t="n"/>
      <c r="H701" s="5" t="n"/>
      <c r="I701" s="5" t="n"/>
      <c r="J701" s="5" t="n"/>
      <c r="K701" s="6" t="n"/>
      <c r="L701" s="6" t="n"/>
      <c r="M701" s="6" t="n"/>
      <c r="N701" s="5" t="n"/>
      <c r="O701" s="21" t="n"/>
      <c r="P701" s="5" t="n"/>
      <c r="Q701" s="5" t="n"/>
      <c r="R701" s="6" t="n"/>
      <c r="S701" s="4" t="n"/>
      <c r="T701" s="4" t="n"/>
      <c r="U701" s="3">
        <f>IF(C701="","",IF(T701="",TODAY()-C701,T701-C701))</f>
        <v/>
      </c>
      <c r="V701" s="5" t="n"/>
      <c r="W701" s="6" t="n"/>
      <c r="X701" s="3">
        <f>IF(P701="","",IFERROR(VLOOKUP(P701,Parâmetros!$J$2:$K$5,2,FALSE),""))</f>
        <v/>
      </c>
      <c r="Y701" s="4">
        <f>IF(OR(C701="",X701=""),"",C701+X701)</f>
        <v/>
      </c>
      <c r="Z701" s="5">
        <f>IF(C701="","",IF(Q701="Concluído","Concluído",IF(Y701&lt;TODAY(),"Vencido",IF(Y701-TODAY()&lt;=2,"A vencer","No prazo"))))</f>
        <v/>
      </c>
      <c r="AA701" s="3">
        <f>IF(OR(Y701="",Q701="Concluído"),"",Y701-TODAY())</f>
        <v/>
      </c>
      <c r="AB701" s="5" t="n"/>
      <c r="AC701" s="5" t="n"/>
      <c r="AD701" s="4" t="n"/>
    </row>
    <row r="702">
      <c r="A702" s="3">
        <f>IF(C702="","",ROW()-1)</f>
        <v/>
      </c>
      <c r="B702" s="4" t="n"/>
      <c r="C702" s="4" t="n"/>
      <c r="D702" s="5" t="n"/>
      <c r="E702" s="5" t="n"/>
      <c r="F702" s="5" t="n"/>
      <c r="G702" s="5" t="n"/>
      <c r="H702" s="5" t="n"/>
      <c r="I702" s="5" t="n"/>
      <c r="J702" s="5" t="n"/>
      <c r="K702" s="6" t="n"/>
      <c r="L702" s="6" t="n"/>
      <c r="M702" s="6" t="n"/>
      <c r="N702" s="5" t="n"/>
      <c r="O702" s="21" t="n"/>
      <c r="P702" s="5" t="n"/>
      <c r="Q702" s="5" t="n"/>
      <c r="R702" s="6" t="n"/>
      <c r="S702" s="4" t="n"/>
      <c r="T702" s="4" t="n"/>
      <c r="U702" s="3">
        <f>IF(C702="","",IF(T702="",TODAY()-C702,T702-C702))</f>
        <v/>
      </c>
      <c r="V702" s="5" t="n"/>
      <c r="W702" s="6" t="n"/>
      <c r="X702" s="3">
        <f>IF(P702="","",IFERROR(VLOOKUP(P702,Parâmetros!$J$2:$K$5,2,FALSE),""))</f>
        <v/>
      </c>
      <c r="Y702" s="4">
        <f>IF(OR(C702="",X702=""),"",C702+X702)</f>
        <v/>
      </c>
      <c r="Z702" s="5">
        <f>IF(C702="","",IF(Q702="Concluído","Concluído",IF(Y702&lt;TODAY(),"Vencido",IF(Y702-TODAY()&lt;=2,"A vencer","No prazo"))))</f>
        <v/>
      </c>
      <c r="AA702" s="3">
        <f>IF(OR(Y702="",Q702="Concluído"),"",Y702-TODAY())</f>
        <v/>
      </c>
      <c r="AB702" s="5" t="n"/>
      <c r="AC702" s="5" t="n"/>
      <c r="AD702" s="4" t="n"/>
    </row>
    <row r="703">
      <c r="A703" s="3">
        <f>IF(C703="","",ROW()-1)</f>
        <v/>
      </c>
      <c r="B703" s="4" t="n"/>
      <c r="C703" s="4" t="n"/>
      <c r="D703" s="5" t="n"/>
      <c r="E703" s="5" t="n"/>
      <c r="F703" s="5" t="n"/>
      <c r="G703" s="5" t="n"/>
      <c r="H703" s="5" t="n"/>
      <c r="I703" s="5" t="n"/>
      <c r="J703" s="5" t="n"/>
      <c r="K703" s="6" t="n"/>
      <c r="L703" s="6" t="n"/>
      <c r="M703" s="6" t="n"/>
      <c r="N703" s="5" t="n"/>
      <c r="O703" s="21" t="n"/>
      <c r="P703" s="5" t="n"/>
      <c r="Q703" s="5" t="n"/>
      <c r="R703" s="6" t="n"/>
      <c r="S703" s="4" t="n"/>
      <c r="T703" s="4" t="n"/>
      <c r="U703" s="3">
        <f>IF(C703="","",IF(T703="",TODAY()-C703,T703-C703))</f>
        <v/>
      </c>
      <c r="V703" s="5" t="n"/>
      <c r="W703" s="6" t="n"/>
      <c r="X703" s="3">
        <f>IF(P703="","",IFERROR(VLOOKUP(P703,Parâmetros!$J$2:$K$5,2,FALSE),""))</f>
        <v/>
      </c>
      <c r="Y703" s="4">
        <f>IF(OR(C703="",X703=""),"",C703+X703)</f>
        <v/>
      </c>
      <c r="Z703" s="5">
        <f>IF(C703="","",IF(Q703="Concluído","Concluído",IF(Y703&lt;TODAY(),"Vencido",IF(Y703-TODAY()&lt;=2,"A vencer","No prazo"))))</f>
        <v/>
      </c>
      <c r="AA703" s="3">
        <f>IF(OR(Y703="",Q703="Concluído"),"",Y703-TODAY())</f>
        <v/>
      </c>
      <c r="AB703" s="5" t="n"/>
      <c r="AC703" s="5" t="n"/>
      <c r="AD703" s="4" t="n"/>
    </row>
    <row r="704">
      <c r="A704" s="3">
        <f>IF(C704="","",ROW()-1)</f>
        <v/>
      </c>
      <c r="B704" s="4" t="n"/>
      <c r="C704" s="4" t="n"/>
      <c r="D704" s="5" t="n"/>
      <c r="E704" s="5" t="n"/>
      <c r="F704" s="5" t="n"/>
      <c r="G704" s="5" t="n"/>
      <c r="H704" s="5" t="n"/>
      <c r="I704" s="5" t="n"/>
      <c r="J704" s="5" t="n"/>
      <c r="K704" s="6" t="n"/>
      <c r="L704" s="6" t="n"/>
      <c r="M704" s="6" t="n"/>
      <c r="N704" s="5" t="n"/>
      <c r="O704" s="21" t="n"/>
      <c r="P704" s="5" t="n"/>
      <c r="Q704" s="5" t="n"/>
      <c r="R704" s="6" t="n"/>
      <c r="S704" s="4" t="n"/>
      <c r="T704" s="4" t="n"/>
      <c r="U704" s="3">
        <f>IF(C704="","",IF(T704="",TODAY()-C704,T704-C704))</f>
        <v/>
      </c>
      <c r="V704" s="5" t="n"/>
      <c r="W704" s="6" t="n"/>
      <c r="X704" s="3">
        <f>IF(P704="","",IFERROR(VLOOKUP(P704,Parâmetros!$J$2:$K$5,2,FALSE),""))</f>
        <v/>
      </c>
      <c r="Y704" s="4">
        <f>IF(OR(C704="",X704=""),"",C704+X704)</f>
        <v/>
      </c>
      <c r="Z704" s="5">
        <f>IF(C704="","",IF(Q704="Concluído","Concluído",IF(Y704&lt;TODAY(),"Vencido",IF(Y704-TODAY()&lt;=2,"A vencer","No prazo"))))</f>
        <v/>
      </c>
      <c r="AA704" s="3">
        <f>IF(OR(Y704="",Q704="Concluído"),"",Y704-TODAY())</f>
        <v/>
      </c>
      <c r="AB704" s="5" t="n"/>
      <c r="AC704" s="5" t="n"/>
      <c r="AD704" s="4" t="n"/>
    </row>
    <row r="705">
      <c r="A705" s="3">
        <f>IF(C705="","",ROW()-1)</f>
        <v/>
      </c>
      <c r="B705" s="4" t="n"/>
      <c r="C705" s="4" t="n"/>
      <c r="D705" s="5" t="n"/>
      <c r="E705" s="5" t="n"/>
      <c r="F705" s="5" t="n"/>
      <c r="G705" s="5" t="n"/>
      <c r="H705" s="5" t="n"/>
      <c r="I705" s="5" t="n"/>
      <c r="J705" s="5" t="n"/>
      <c r="K705" s="6" t="n"/>
      <c r="L705" s="6" t="n"/>
      <c r="M705" s="6" t="n"/>
      <c r="N705" s="5" t="n"/>
      <c r="O705" s="21" t="n"/>
      <c r="P705" s="5" t="n"/>
      <c r="Q705" s="5" t="n"/>
      <c r="R705" s="6" t="n"/>
      <c r="S705" s="4" t="n"/>
      <c r="T705" s="4" t="n"/>
      <c r="U705" s="3">
        <f>IF(C705="","",IF(T705="",TODAY()-C705,T705-C705))</f>
        <v/>
      </c>
      <c r="V705" s="5" t="n"/>
      <c r="W705" s="6" t="n"/>
      <c r="X705" s="3">
        <f>IF(P705="","",IFERROR(VLOOKUP(P705,Parâmetros!$J$2:$K$5,2,FALSE),""))</f>
        <v/>
      </c>
      <c r="Y705" s="4">
        <f>IF(OR(C705="",X705=""),"",C705+X705)</f>
        <v/>
      </c>
      <c r="Z705" s="5">
        <f>IF(C705="","",IF(Q705="Concluído","Concluído",IF(Y705&lt;TODAY(),"Vencido",IF(Y705-TODAY()&lt;=2,"A vencer","No prazo"))))</f>
        <v/>
      </c>
      <c r="AA705" s="3">
        <f>IF(OR(Y705="",Q705="Concluído"),"",Y705-TODAY())</f>
        <v/>
      </c>
      <c r="AB705" s="5" t="n"/>
      <c r="AC705" s="5" t="n"/>
      <c r="AD705" s="4" t="n"/>
    </row>
    <row r="706">
      <c r="A706" s="3">
        <f>IF(C706="","",ROW()-1)</f>
        <v/>
      </c>
      <c r="B706" s="4" t="n"/>
      <c r="C706" s="4" t="n"/>
      <c r="D706" s="5" t="n"/>
      <c r="E706" s="5" t="n"/>
      <c r="F706" s="5" t="n"/>
      <c r="G706" s="5" t="n"/>
      <c r="H706" s="5" t="n"/>
      <c r="I706" s="5" t="n"/>
      <c r="J706" s="5" t="n"/>
      <c r="K706" s="6" t="n"/>
      <c r="L706" s="6" t="n"/>
      <c r="M706" s="6" t="n"/>
      <c r="N706" s="5" t="n"/>
      <c r="O706" s="21" t="n"/>
      <c r="P706" s="5" t="n"/>
      <c r="Q706" s="5" t="n"/>
      <c r="R706" s="6" t="n"/>
      <c r="S706" s="4" t="n"/>
      <c r="T706" s="4" t="n"/>
      <c r="U706" s="3">
        <f>IF(C706="","",IF(T706="",TODAY()-C706,T706-C706))</f>
        <v/>
      </c>
      <c r="V706" s="5" t="n"/>
      <c r="W706" s="6" t="n"/>
      <c r="X706" s="3">
        <f>IF(P706="","",IFERROR(VLOOKUP(P706,Parâmetros!$J$2:$K$5,2,FALSE),""))</f>
        <v/>
      </c>
      <c r="Y706" s="4">
        <f>IF(OR(C706="",X706=""),"",C706+X706)</f>
        <v/>
      </c>
      <c r="Z706" s="5">
        <f>IF(C706="","",IF(Q706="Concluído","Concluído",IF(Y706&lt;TODAY(),"Vencido",IF(Y706-TODAY()&lt;=2,"A vencer","No prazo"))))</f>
        <v/>
      </c>
      <c r="AA706" s="3">
        <f>IF(OR(Y706="",Q706="Concluído"),"",Y706-TODAY())</f>
        <v/>
      </c>
      <c r="AB706" s="5" t="n"/>
      <c r="AC706" s="5" t="n"/>
      <c r="AD706" s="4" t="n"/>
    </row>
    <row r="707">
      <c r="A707" s="3">
        <f>IF(C707="","",ROW()-1)</f>
        <v/>
      </c>
      <c r="B707" s="4" t="n"/>
      <c r="C707" s="4" t="n"/>
      <c r="D707" s="5" t="n"/>
      <c r="E707" s="5" t="n"/>
      <c r="F707" s="5" t="n"/>
      <c r="G707" s="5" t="n"/>
      <c r="H707" s="5" t="n"/>
      <c r="I707" s="5" t="n"/>
      <c r="J707" s="5" t="n"/>
      <c r="K707" s="6" t="n"/>
      <c r="L707" s="6" t="n"/>
      <c r="M707" s="6" t="n"/>
      <c r="N707" s="5" t="n"/>
      <c r="O707" s="21" t="n"/>
      <c r="P707" s="5" t="n"/>
      <c r="Q707" s="5" t="n"/>
      <c r="R707" s="6" t="n"/>
      <c r="S707" s="4" t="n"/>
      <c r="T707" s="4" t="n"/>
      <c r="U707" s="3">
        <f>IF(C707="","",IF(T707="",TODAY()-C707,T707-C707))</f>
        <v/>
      </c>
      <c r="V707" s="5" t="n"/>
      <c r="W707" s="6" t="n"/>
      <c r="X707" s="3">
        <f>IF(P707="","",IFERROR(VLOOKUP(P707,Parâmetros!$J$2:$K$5,2,FALSE),""))</f>
        <v/>
      </c>
      <c r="Y707" s="4">
        <f>IF(OR(C707="",X707=""),"",C707+X707)</f>
        <v/>
      </c>
      <c r="Z707" s="5">
        <f>IF(C707="","",IF(Q707="Concluído","Concluído",IF(Y707&lt;TODAY(),"Vencido",IF(Y707-TODAY()&lt;=2,"A vencer","No prazo"))))</f>
        <v/>
      </c>
      <c r="AA707" s="3">
        <f>IF(OR(Y707="",Q707="Concluído"),"",Y707-TODAY())</f>
        <v/>
      </c>
      <c r="AB707" s="5" t="n"/>
      <c r="AC707" s="5" t="n"/>
      <c r="AD707" s="4" t="n"/>
    </row>
    <row r="708">
      <c r="A708" s="3">
        <f>IF(C708="","",ROW()-1)</f>
        <v/>
      </c>
      <c r="B708" s="4" t="n"/>
      <c r="C708" s="4" t="n"/>
      <c r="D708" s="5" t="n"/>
      <c r="E708" s="5" t="n"/>
      <c r="F708" s="5" t="n"/>
      <c r="G708" s="5" t="n"/>
      <c r="H708" s="5" t="n"/>
      <c r="I708" s="5" t="n"/>
      <c r="J708" s="5" t="n"/>
      <c r="K708" s="6" t="n"/>
      <c r="L708" s="6" t="n"/>
      <c r="M708" s="6" t="n"/>
      <c r="N708" s="5" t="n"/>
      <c r="O708" s="21" t="n"/>
      <c r="P708" s="5" t="n"/>
      <c r="Q708" s="5" t="n"/>
      <c r="R708" s="6" t="n"/>
      <c r="S708" s="4" t="n"/>
      <c r="T708" s="4" t="n"/>
      <c r="U708" s="3">
        <f>IF(C708="","",IF(T708="",TODAY()-C708,T708-C708))</f>
        <v/>
      </c>
      <c r="V708" s="5" t="n"/>
      <c r="W708" s="6" t="n"/>
      <c r="X708" s="3">
        <f>IF(P708="","",IFERROR(VLOOKUP(P708,Parâmetros!$J$2:$K$5,2,FALSE),""))</f>
        <v/>
      </c>
      <c r="Y708" s="4">
        <f>IF(OR(C708="",X708=""),"",C708+X708)</f>
        <v/>
      </c>
      <c r="Z708" s="5">
        <f>IF(C708="","",IF(Q708="Concluído","Concluído",IF(Y708&lt;TODAY(),"Vencido",IF(Y708-TODAY()&lt;=2,"A vencer","No prazo"))))</f>
        <v/>
      </c>
      <c r="AA708" s="3">
        <f>IF(OR(Y708="",Q708="Concluído"),"",Y708-TODAY())</f>
        <v/>
      </c>
      <c r="AB708" s="5" t="n"/>
      <c r="AC708" s="5" t="n"/>
      <c r="AD708" s="4" t="n"/>
    </row>
    <row r="709">
      <c r="A709" s="3">
        <f>IF(C709="","",ROW()-1)</f>
        <v/>
      </c>
      <c r="B709" s="4" t="n"/>
      <c r="C709" s="4" t="n"/>
      <c r="D709" s="5" t="n"/>
      <c r="E709" s="5" t="n"/>
      <c r="F709" s="5" t="n"/>
      <c r="G709" s="5" t="n"/>
      <c r="H709" s="5" t="n"/>
      <c r="I709" s="5" t="n"/>
      <c r="J709" s="5" t="n"/>
      <c r="K709" s="6" t="n"/>
      <c r="L709" s="6" t="n"/>
      <c r="M709" s="6" t="n"/>
      <c r="N709" s="5" t="n"/>
      <c r="O709" s="21" t="n"/>
      <c r="P709" s="5" t="n"/>
      <c r="Q709" s="5" t="n"/>
      <c r="R709" s="6" t="n"/>
      <c r="S709" s="4" t="n"/>
      <c r="T709" s="4" t="n"/>
      <c r="U709" s="3">
        <f>IF(C709="","",IF(T709="",TODAY()-C709,T709-C709))</f>
        <v/>
      </c>
      <c r="V709" s="5" t="n"/>
      <c r="W709" s="6" t="n"/>
      <c r="X709" s="3">
        <f>IF(P709="","",IFERROR(VLOOKUP(P709,Parâmetros!$J$2:$K$5,2,FALSE),""))</f>
        <v/>
      </c>
      <c r="Y709" s="4">
        <f>IF(OR(C709="",X709=""),"",C709+X709)</f>
        <v/>
      </c>
      <c r="Z709" s="5">
        <f>IF(C709="","",IF(Q709="Concluído","Concluído",IF(Y709&lt;TODAY(),"Vencido",IF(Y709-TODAY()&lt;=2,"A vencer","No prazo"))))</f>
        <v/>
      </c>
      <c r="AA709" s="3">
        <f>IF(OR(Y709="",Q709="Concluído"),"",Y709-TODAY())</f>
        <v/>
      </c>
      <c r="AB709" s="5" t="n"/>
      <c r="AC709" s="5" t="n"/>
      <c r="AD709" s="4" t="n"/>
    </row>
    <row r="710">
      <c r="A710" s="3">
        <f>IF(C710="","",ROW()-1)</f>
        <v/>
      </c>
      <c r="B710" s="4" t="n"/>
      <c r="C710" s="4" t="n"/>
      <c r="D710" s="5" t="n"/>
      <c r="E710" s="5" t="n"/>
      <c r="F710" s="5" t="n"/>
      <c r="G710" s="5" t="n"/>
      <c r="H710" s="5" t="n"/>
      <c r="I710" s="5" t="n"/>
      <c r="J710" s="5" t="n"/>
      <c r="K710" s="6" t="n"/>
      <c r="L710" s="6" t="n"/>
      <c r="M710" s="6" t="n"/>
      <c r="N710" s="5" t="n"/>
      <c r="O710" s="21" t="n"/>
      <c r="P710" s="5" t="n"/>
      <c r="Q710" s="5" t="n"/>
      <c r="R710" s="6" t="n"/>
      <c r="S710" s="4" t="n"/>
      <c r="T710" s="4" t="n"/>
      <c r="U710" s="3">
        <f>IF(C710="","",IF(T710="",TODAY()-C710,T710-C710))</f>
        <v/>
      </c>
      <c r="V710" s="5" t="n"/>
      <c r="W710" s="6" t="n"/>
      <c r="X710" s="3">
        <f>IF(P710="","",IFERROR(VLOOKUP(P710,Parâmetros!$J$2:$K$5,2,FALSE),""))</f>
        <v/>
      </c>
      <c r="Y710" s="4">
        <f>IF(OR(C710="",X710=""),"",C710+X710)</f>
        <v/>
      </c>
      <c r="Z710" s="5">
        <f>IF(C710="","",IF(Q710="Concluído","Concluído",IF(Y710&lt;TODAY(),"Vencido",IF(Y710-TODAY()&lt;=2,"A vencer","No prazo"))))</f>
        <v/>
      </c>
      <c r="AA710" s="3">
        <f>IF(OR(Y710="",Q710="Concluído"),"",Y710-TODAY())</f>
        <v/>
      </c>
      <c r="AB710" s="5" t="n"/>
      <c r="AC710" s="5" t="n"/>
      <c r="AD710" s="4" t="n"/>
    </row>
    <row r="711">
      <c r="A711" s="3">
        <f>IF(C711="","",ROW()-1)</f>
        <v/>
      </c>
      <c r="B711" s="4" t="n"/>
      <c r="C711" s="4" t="n"/>
      <c r="D711" s="5" t="n"/>
      <c r="E711" s="5" t="n"/>
      <c r="F711" s="5" t="n"/>
      <c r="G711" s="5" t="n"/>
      <c r="H711" s="5" t="n"/>
      <c r="I711" s="5" t="n"/>
      <c r="J711" s="5" t="n"/>
      <c r="K711" s="6" t="n"/>
      <c r="L711" s="6" t="n"/>
      <c r="M711" s="6" t="n"/>
      <c r="N711" s="5" t="n"/>
      <c r="O711" s="21" t="n"/>
      <c r="P711" s="5" t="n"/>
      <c r="Q711" s="5" t="n"/>
      <c r="R711" s="6" t="n"/>
      <c r="S711" s="4" t="n"/>
      <c r="T711" s="4" t="n"/>
      <c r="U711" s="3">
        <f>IF(C711="","",IF(T711="",TODAY()-C711,T711-C711))</f>
        <v/>
      </c>
      <c r="V711" s="5" t="n"/>
      <c r="W711" s="6" t="n"/>
      <c r="X711" s="3">
        <f>IF(P711="","",IFERROR(VLOOKUP(P711,Parâmetros!$J$2:$K$5,2,FALSE),""))</f>
        <v/>
      </c>
      <c r="Y711" s="4">
        <f>IF(OR(C711="",X711=""),"",C711+X711)</f>
        <v/>
      </c>
      <c r="Z711" s="5">
        <f>IF(C711="","",IF(Q711="Concluído","Concluído",IF(Y711&lt;TODAY(),"Vencido",IF(Y711-TODAY()&lt;=2,"A vencer","No prazo"))))</f>
        <v/>
      </c>
      <c r="AA711" s="3">
        <f>IF(OR(Y711="",Q711="Concluído"),"",Y711-TODAY())</f>
        <v/>
      </c>
      <c r="AB711" s="5" t="n"/>
      <c r="AC711" s="5" t="n"/>
      <c r="AD711" s="4" t="n"/>
    </row>
    <row r="712">
      <c r="A712" s="3">
        <f>IF(C712="","",ROW()-1)</f>
        <v/>
      </c>
      <c r="B712" s="4" t="n"/>
      <c r="C712" s="4" t="n"/>
      <c r="D712" s="5" t="n"/>
      <c r="E712" s="5" t="n"/>
      <c r="F712" s="5" t="n"/>
      <c r="G712" s="5" t="n"/>
      <c r="H712" s="5" t="n"/>
      <c r="I712" s="5" t="n"/>
      <c r="J712" s="5" t="n"/>
      <c r="K712" s="6" t="n"/>
      <c r="L712" s="6" t="n"/>
      <c r="M712" s="6" t="n"/>
      <c r="N712" s="5" t="n"/>
      <c r="O712" s="21" t="n"/>
      <c r="P712" s="5" t="n"/>
      <c r="Q712" s="5" t="n"/>
      <c r="R712" s="6" t="n"/>
      <c r="S712" s="4" t="n"/>
      <c r="T712" s="4" t="n"/>
      <c r="U712" s="3">
        <f>IF(C712="","",IF(T712="",TODAY()-C712,T712-C712))</f>
        <v/>
      </c>
      <c r="V712" s="5" t="n"/>
      <c r="W712" s="6" t="n"/>
      <c r="X712" s="3">
        <f>IF(P712="","",IFERROR(VLOOKUP(P712,Parâmetros!$J$2:$K$5,2,FALSE),""))</f>
        <v/>
      </c>
      <c r="Y712" s="4">
        <f>IF(OR(C712="",X712=""),"",C712+X712)</f>
        <v/>
      </c>
      <c r="Z712" s="5">
        <f>IF(C712="","",IF(Q712="Concluído","Concluído",IF(Y712&lt;TODAY(),"Vencido",IF(Y712-TODAY()&lt;=2,"A vencer","No prazo"))))</f>
        <v/>
      </c>
      <c r="AA712" s="3">
        <f>IF(OR(Y712="",Q712="Concluído"),"",Y712-TODAY())</f>
        <v/>
      </c>
      <c r="AB712" s="5" t="n"/>
      <c r="AC712" s="5" t="n"/>
      <c r="AD712" s="4" t="n"/>
    </row>
    <row r="713">
      <c r="A713" s="3">
        <f>IF(C713="","",ROW()-1)</f>
        <v/>
      </c>
      <c r="B713" s="4" t="n"/>
      <c r="C713" s="4" t="n"/>
      <c r="D713" s="5" t="n"/>
      <c r="E713" s="5" t="n"/>
      <c r="F713" s="5" t="n"/>
      <c r="G713" s="5" t="n"/>
      <c r="H713" s="5" t="n"/>
      <c r="I713" s="5" t="n"/>
      <c r="J713" s="5" t="n"/>
      <c r="K713" s="6" t="n"/>
      <c r="L713" s="6" t="n"/>
      <c r="M713" s="6" t="n"/>
      <c r="N713" s="5" t="n"/>
      <c r="O713" s="21" t="n"/>
      <c r="P713" s="5" t="n"/>
      <c r="Q713" s="5" t="n"/>
      <c r="R713" s="6" t="n"/>
      <c r="S713" s="4" t="n"/>
      <c r="T713" s="4" t="n"/>
      <c r="U713" s="3">
        <f>IF(C713="","",IF(T713="",TODAY()-C713,T713-C713))</f>
        <v/>
      </c>
      <c r="V713" s="5" t="n"/>
      <c r="W713" s="6" t="n"/>
      <c r="X713" s="3">
        <f>IF(P713="","",IFERROR(VLOOKUP(P713,Parâmetros!$J$2:$K$5,2,FALSE),""))</f>
        <v/>
      </c>
      <c r="Y713" s="4">
        <f>IF(OR(C713="",X713=""),"",C713+X713)</f>
        <v/>
      </c>
      <c r="Z713" s="5">
        <f>IF(C713="","",IF(Q713="Concluído","Concluído",IF(Y713&lt;TODAY(),"Vencido",IF(Y713-TODAY()&lt;=2,"A vencer","No prazo"))))</f>
        <v/>
      </c>
      <c r="AA713" s="3">
        <f>IF(OR(Y713="",Q713="Concluído"),"",Y713-TODAY())</f>
        <v/>
      </c>
      <c r="AB713" s="5" t="n"/>
      <c r="AC713" s="5" t="n"/>
      <c r="AD713" s="4" t="n"/>
    </row>
    <row r="714">
      <c r="A714" s="3">
        <f>IF(C714="","",ROW()-1)</f>
        <v/>
      </c>
      <c r="B714" s="4" t="n"/>
      <c r="C714" s="4" t="n"/>
      <c r="D714" s="5" t="n"/>
      <c r="E714" s="5" t="n"/>
      <c r="F714" s="5" t="n"/>
      <c r="G714" s="5" t="n"/>
      <c r="H714" s="5" t="n"/>
      <c r="I714" s="5" t="n"/>
      <c r="J714" s="5" t="n"/>
      <c r="K714" s="6" t="n"/>
      <c r="L714" s="6" t="n"/>
      <c r="M714" s="6" t="n"/>
      <c r="N714" s="5" t="n"/>
      <c r="O714" s="21" t="n"/>
      <c r="P714" s="5" t="n"/>
      <c r="Q714" s="5" t="n"/>
      <c r="R714" s="6" t="n"/>
      <c r="S714" s="4" t="n"/>
      <c r="T714" s="4" t="n"/>
      <c r="U714" s="3">
        <f>IF(C714="","",IF(T714="",TODAY()-C714,T714-C714))</f>
        <v/>
      </c>
      <c r="V714" s="5" t="n"/>
      <c r="W714" s="6" t="n"/>
      <c r="X714" s="3">
        <f>IF(P714="","",IFERROR(VLOOKUP(P714,Parâmetros!$J$2:$K$5,2,FALSE),""))</f>
        <v/>
      </c>
      <c r="Y714" s="4">
        <f>IF(OR(C714="",X714=""),"",C714+X714)</f>
        <v/>
      </c>
      <c r="Z714" s="5">
        <f>IF(C714="","",IF(Q714="Concluído","Concluído",IF(Y714&lt;TODAY(),"Vencido",IF(Y714-TODAY()&lt;=2,"A vencer","No prazo"))))</f>
        <v/>
      </c>
      <c r="AA714" s="3">
        <f>IF(OR(Y714="",Q714="Concluído"),"",Y714-TODAY())</f>
        <v/>
      </c>
      <c r="AB714" s="5" t="n"/>
      <c r="AC714" s="5" t="n"/>
      <c r="AD714" s="4" t="n"/>
    </row>
    <row r="715">
      <c r="A715" s="3">
        <f>IF(C715="","",ROW()-1)</f>
        <v/>
      </c>
      <c r="B715" s="4" t="n"/>
      <c r="C715" s="4" t="n"/>
      <c r="D715" s="5" t="n"/>
      <c r="E715" s="5" t="n"/>
      <c r="F715" s="5" t="n"/>
      <c r="G715" s="5" t="n"/>
      <c r="H715" s="5" t="n"/>
      <c r="I715" s="5" t="n"/>
      <c r="J715" s="5" t="n"/>
      <c r="K715" s="6" t="n"/>
      <c r="L715" s="6" t="n"/>
      <c r="M715" s="6" t="n"/>
      <c r="N715" s="5" t="n"/>
      <c r="O715" s="21" t="n"/>
      <c r="P715" s="5" t="n"/>
      <c r="Q715" s="5" t="n"/>
      <c r="R715" s="6" t="n"/>
      <c r="S715" s="4" t="n"/>
      <c r="T715" s="4" t="n"/>
      <c r="U715" s="3">
        <f>IF(C715="","",IF(T715="",TODAY()-C715,T715-C715))</f>
        <v/>
      </c>
      <c r="V715" s="5" t="n"/>
      <c r="W715" s="6" t="n"/>
      <c r="X715" s="3">
        <f>IF(P715="","",IFERROR(VLOOKUP(P715,Parâmetros!$J$2:$K$5,2,FALSE),""))</f>
        <v/>
      </c>
      <c r="Y715" s="4">
        <f>IF(OR(C715="",X715=""),"",C715+X715)</f>
        <v/>
      </c>
      <c r="Z715" s="5">
        <f>IF(C715="","",IF(Q715="Concluído","Concluído",IF(Y715&lt;TODAY(),"Vencido",IF(Y715-TODAY()&lt;=2,"A vencer","No prazo"))))</f>
        <v/>
      </c>
      <c r="AA715" s="3">
        <f>IF(OR(Y715="",Q715="Concluído"),"",Y715-TODAY())</f>
        <v/>
      </c>
      <c r="AB715" s="5" t="n"/>
      <c r="AC715" s="5" t="n"/>
      <c r="AD715" s="4" t="n"/>
    </row>
    <row r="716">
      <c r="A716" s="3">
        <f>IF(C716="","",ROW()-1)</f>
        <v/>
      </c>
      <c r="B716" s="4" t="n"/>
      <c r="C716" s="4" t="n"/>
      <c r="D716" s="5" t="n"/>
      <c r="E716" s="5" t="n"/>
      <c r="F716" s="5" t="n"/>
      <c r="G716" s="5" t="n"/>
      <c r="H716" s="5" t="n"/>
      <c r="I716" s="5" t="n"/>
      <c r="J716" s="5" t="n"/>
      <c r="K716" s="6" t="n"/>
      <c r="L716" s="6" t="n"/>
      <c r="M716" s="6" t="n"/>
      <c r="N716" s="5" t="n"/>
      <c r="O716" s="21" t="n"/>
      <c r="P716" s="5" t="n"/>
      <c r="Q716" s="5" t="n"/>
      <c r="R716" s="6" t="n"/>
      <c r="S716" s="4" t="n"/>
      <c r="T716" s="4" t="n"/>
      <c r="U716" s="3">
        <f>IF(C716="","",IF(T716="",TODAY()-C716,T716-C716))</f>
        <v/>
      </c>
      <c r="V716" s="5" t="n"/>
      <c r="W716" s="6" t="n"/>
      <c r="X716" s="3">
        <f>IF(P716="","",IFERROR(VLOOKUP(P716,Parâmetros!$J$2:$K$5,2,FALSE),""))</f>
        <v/>
      </c>
      <c r="Y716" s="4">
        <f>IF(OR(C716="",X716=""),"",C716+X716)</f>
        <v/>
      </c>
      <c r="Z716" s="5">
        <f>IF(C716="","",IF(Q716="Concluído","Concluído",IF(Y716&lt;TODAY(),"Vencido",IF(Y716-TODAY()&lt;=2,"A vencer","No prazo"))))</f>
        <v/>
      </c>
      <c r="AA716" s="3">
        <f>IF(OR(Y716="",Q716="Concluído"),"",Y716-TODAY())</f>
        <v/>
      </c>
      <c r="AB716" s="5" t="n"/>
      <c r="AC716" s="5" t="n"/>
      <c r="AD716" s="4" t="n"/>
    </row>
    <row r="717">
      <c r="A717" s="3">
        <f>IF(C717="","",ROW()-1)</f>
        <v/>
      </c>
      <c r="B717" s="4" t="n"/>
      <c r="C717" s="4" t="n"/>
      <c r="D717" s="5" t="n"/>
      <c r="E717" s="5" t="n"/>
      <c r="F717" s="5" t="n"/>
      <c r="G717" s="5" t="n"/>
      <c r="H717" s="5" t="n"/>
      <c r="I717" s="5" t="n"/>
      <c r="J717" s="5" t="n"/>
      <c r="K717" s="6" t="n"/>
      <c r="L717" s="6" t="n"/>
      <c r="M717" s="6" t="n"/>
      <c r="N717" s="5" t="n"/>
      <c r="O717" s="21" t="n"/>
      <c r="P717" s="5" t="n"/>
      <c r="Q717" s="5" t="n"/>
      <c r="R717" s="6" t="n"/>
      <c r="S717" s="4" t="n"/>
      <c r="T717" s="4" t="n"/>
      <c r="U717" s="3">
        <f>IF(C717="","",IF(T717="",TODAY()-C717,T717-C717))</f>
        <v/>
      </c>
      <c r="V717" s="5" t="n"/>
      <c r="W717" s="6" t="n"/>
      <c r="X717" s="3">
        <f>IF(P717="","",IFERROR(VLOOKUP(P717,Parâmetros!$J$2:$K$5,2,FALSE),""))</f>
        <v/>
      </c>
      <c r="Y717" s="4">
        <f>IF(OR(C717="",X717=""),"",C717+X717)</f>
        <v/>
      </c>
      <c r="Z717" s="5">
        <f>IF(C717="","",IF(Q717="Concluído","Concluído",IF(Y717&lt;TODAY(),"Vencido",IF(Y717-TODAY()&lt;=2,"A vencer","No prazo"))))</f>
        <v/>
      </c>
      <c r="AA717" s="3">
        <f>IF(OR(Y717="",Q717="Concluído"),"",Y717-TODAY())</f>
        <v/>
      </c>
      <c r="AB717" s="5" t="n"/>
      <c r="AC717" s="5" t="n"/>
      <c r="AD717" s="4" t="n"/>
    </row>
    <row r="718">
      <c r="A718" s="3">
        <f>IF(C718="","",ROW()-1)</f>
        <v/>
      </c>
      <c r="B718" s="4" t="n"/>
      <c r="C718" s="4" t="n"/>
      <c r="D718" s="5" t="n"/>
      <c r="E718" s="5" t="n"/>
      <c r="F718" s="5" t="n"/>
      <c r="G718" s="5" t="n"/>
      <c r="H718" s="5" t="n"/>
      <c r="I718" s="5" t="n"/>
      <c r="J718" s="5" t="n"/>
      <c r="K718" s="6" t="n"/>
      <c r="L718" s="6" t="n"/>
      <c r="M718" s="6" t="n"/>
      <c r="N718" s="5" t="n"/>
      <c r="O718" s="21" t="n"/>
      <c r="P718" s="5" t="n"/>
      <c r="Q718" s="5" t="n"/>
      <c r="R718" s="6" t="n"/>
      <c r="S718" s="4" t="n"/>
      <c r="T718" s="4" t="n"/>
      <c r="U718" s="3">
        <f>IF(C718="","",IF(T718="",TODAY()-C718,T718-C718))</f>
        <v/>
      </c>
      <c r="V718" s="5" t="n"/>
      <c r="W718" s="6" t="n"/>
      <c r="X718" s="3">
        <f>IF(P718="","",IFERROR(VLOOKUP(P718,Parâmetros!$J$2:$K$5,2,FALSE),""))</f>
        <v/>
      </c>
      <c r="Y718" s="4">
        <f>IF(OR(C718="",X718=""),"",C718+X718)</f>
        <v/>
      </c>
      <c r="Z718" s="5">
        <f>IF(C718="","",IF(Q718="Concluído","Concluído",IF(Y718&lt;TODAY(),"Vencido",IF(Y718-TODAY()&lt;=2,"A vencer","No prazo"))))</f>
        <v/>
      </c>
      <c r="AA718" s="3">
        <f>IF(OR(Y718="",Q718="Concluído"),"",Y718-TODAY())</f>
        <v/>
      </c>
      <c r="AB718" s="5" t="n"/>
      <c r="AC718" s="5" t="n"/>
      <c r="AD718" s="4" t="n"/>
    </row>
    <row r="719">
      <c r="A719" s="3">
        <f>IF(C719="","",ROW()-1)</f>
        <v/>
      </c>
      <c r="B719" s="4" t="n"/>
      <c r="C719" s="4" t="n"/>
      <c r="D719" s="5" t="n"/>
      <c r="E719" s="5" t="n"/>
      <c r="F719" s="5" t="n"/>
      <c r="G719" s="5" t="n"/>
      <c r="H719" s="5" t="n"/>
      <c r="I719" s="5" t="n"/>
      <c r="J719" s="5" t="n"/>
      <c r="K719" s="6" t="n"/>
      <c r="L719" s="6" t="n"/>
      <c r="M719" s="6" t="n"/>
      <c r="N719" s="5" t="n"/>
      <c r="O719" s="21" t="n"/>
      <c r="P719" s="5" t="n"/>
      <c r="Q719" s="5" t="n"/>
      <c r="R719" s="6" t="n"/>
      <c r="S719" s="4" t="n"/>
      <c r="T719" s="4" t="n"/>
      <c r="U719" s="3">
        <f>IF(C719="","",IF(T719="",TODAY()-C719,T719-C719))</f>
        <v/>
      </c>
      <c r="V719" s="5" t="n"/>
      <c r="W719" s="6" t="n"/>
      <c r="X719" s="3">
        <f>IF(P719="","",IFERROR(VLOOKUP(P719,Parâmetros!$J$2:$K$5,2,FALSE),""))</f>
        <v/>
      </c>
      <c r="Y719" s="4">
        <f>IF(OR(C719="",X719=""),"",C719+X719)</f>
        <v/>
      </c>
      <c r="Z719" s="5">
        <f>IF(C719="","",IF(Q719="Concluído","Concluído",IF(Y719&lt;TODAY(),"Vencido",IF(Y719-TODAY()&lt;=2,"A vencer","No prazo"))))</f>
        <v/>
      </c>
      <c r="AA719" s="3">
        <f>IF(OR(Y719="",Q719="Concluído"),"",Y719-TODAY())</f>
        <v/>
      </c>
      <c r="AB719" s="5" t="n"/>
      <c r="AC719" s="5" t="n"/>
      <c r="AD719" s="4" t="n"/>
    </row>
    <row r="720">
      <c r="A720" s="3">
        <f>IF(C720="","",ROW()-1)</f>
        <v/>
      </c>
      <c r="B720" s="4" t="n"/>
      <c r="C720" s="4" t="n"/>
      <c r="D720" s="5" t="n"/>
      <c r="E720" s="5" t="n"/>
      <c r="F720" s="5" t="n"/>
      <c r="G720" s="5" t="n"/>
      <c r="H720" s="5" t="n"/>
      <c r="I720" s="5" t="n"/>
      <c r="J720" s="5" t="n"/>
      <c r="K720" s="6" t="n"/>
      <c r="L720" s="6" t="n"/>
      <c r="M720" s="6" t="n"/>
      <c r="N720" s="5" t="n"/>
      <c r="O720" s="21" t="n"/>
      <c r="P720" s="5" t="n"/>
      <c r="Q720" s="5" t="n"/>
      <c r="R720" s="6" t="n"/>
      <c r="S720" s="4" t="n"/>
      <c r="T720" s="4" t="n"/>
      <c r="U720" s="3">
        <f>IF(C720="","",IF(T720="",TODAY()-C720,T720-C720))</f>
        <v/>
      </c>
      <c r="V720" s="5" t="n"/>
      <c r="W720" s="6" t="n"/>
      <c r="X720" s="3">
        <f>IF(P720="","",IFERROR(VLOOKUP(P720,Parâmetros!$J$2:$K$5,2,FALSE),""))</f>
        <v/>
      </c>
      <c r="Y720" s="4">
        <f>IF(OR(C720="",X720=""),"",C720+X720)</f>
        <v/>
      </c>
      <c r="Z720" s="5">
        <f>IF(C720="","",IF(Q720="Concluído","Concluído",IF(Y720&lt;TODAY(),"Vencido",IF(Y720-TODAY()&lt;=2,"A vencer","No prazo"))))</f>
        <v/>
      </c>
      <c r="AA720" s="3">
        <f>IF(OR(Y720="",Q720="Concluído"),"",Y720-TODAY())</f>
        <v/>
      </c>
      <c r="AB720" s="5" t="n"/>
      <c r="AC720" s="5" t="n"/>
      <c r="AD720" s="4" t="n"/>
    </row>
    <row r="721">
      <c r="A721" s="3">
        <f>IF(C721="","",ROW()-1)</f>
        <v/>
      </c>
      <c r="B721" s="4" t="n"/>
      <c r="C721" s="4" t="n"/>
      <c r="D721" s="5" t="n"/>
      <c r="E721" s="5" t="n"/>
      <c r="F721" s="5" t="n"/>
      <c r="G721" s="5" t="n"/>
      <c r="H721" s="5" t="n"/>
      <c r="I721" s="5" t="n"/>
      <c r="J721" s="5" t="n"/>
      <c r="K721" s="6" t="n"/>
      <c r="L721" s="6" t="n"/>
      <c r="M721" s="6" t="n"/>
      <c r="N721" s="5" t="n"/>
      <c r="O721" s="21" t="n"/>
      <c r="P721" s="5" t="n"/>
      <c r="Q721" s="5" t="n"/>
      <c r="R721" s="6" t="n"/>
      <c r="S721" s="4" t="n"/>
      <c r="T721" s="4" t="n"/>
      <c r="U721" s="3">
        <f>IF(C721="","",IF(T721="",TODAY()-C721,T721-C721))</f>
        <v/>
      </c>
      <c r="V721" s="5" t="n"/>
      <c r="W721" s="6" t="n"/>
      <c r="X721" s="3">
        <f>IF(P721="","",IFERROR(VLOOKUP(P721,Parâmetros!$J$2:$K$5,2,FALSE),""))</f>
        <v/>
      </c>
      <c r="Y721" s="4">
        <f>IF(OR(C721="",X721=""),"",C721+X721)</f>
        <v/>
      </c>
      <c r="Z721" s="5">
        <f>IF(C721="","",IF(Q721="Concluído","Concluído",IF(Y721&lt;TODAY(),"Vencido",IF(Y721-TODAY()&lt;=2,"A vencer","No prazo"))))</f>
        <v/>
      </c>
      <c r="AA721" s="3">
        <f>IF(OR(Y721="",Q721="Concluído"),"",Y721-TODAY())</f>
        <v/>
      </c>
      <c r="AB721" s="5" t="n"/>
      <c r="AC721" s="5" t="n"/>
      <c r="AD721" s="4" t="n"/>
    </row>
    <row r="722">
      <c r="A722" s="3">
        <f>IF(C722="","",ROW()-1)</f>
        <v/>
      </c>
      <c r="B722" s="4" t="n"/>
      <c r="C722" s="4" t="n"/>
      <c r="D722" s="5" t="n"/>
      <c r="E722" s="5" t="n"/>
      <c r="F722" s="5" t="n"/>
      <c r="G722" s="5" t="n"/>
      <c r="H722" s="5" t="n"/>
      <c r="I722" s="5" t="n"/>
      <c r="J722" s="5" t="n"/>
      <c r="K722" s="6" t="n"/>
      <c r="L722" s="6" t="n"/>
      <c r="M722" s="6" t="n"/>
      <c r="N722" s="5" t="n"/>
      <c r="O722" s="21" t="n"/>
      <c r="P722" s="5" t="n"/>
      <c r="Q722" s="5" t="n"/>
      <c r="R722" s="6" t="n"/>
      <c r="S722" s="4" t="n"/>
      <c r="T722" s="4" t="n"/>
      <c r="U722" s="3">
        <f>IF(C722="","",IF(T722="",TODAY()-C722,T722-C722))</f>
        <v/>
      </c>
      <c r="V722" s="5" t="n"/>
      <c r="W722" s="6" t="n"/>
      <c r="X722" s="3">
        <f>IF(P722="","",IFERROR(VLOOKUP(P722,Parâmetros!$J$2:$K$5,2,FALSE),""))</f>
        <v/>
      </c>
      <c r="Y722" s="4">
        <f>IF(OR(C722="",X722=""),"",C722+X722)</f>
        <v/>
      </c>
      <c r="Z722" s="5">
        <f>IF(C722="","",IF(Q722="Concluído","Concluído",IF(Y722&lt;TODAY(),"Vencido",IF(Y722-TODAY()&lt;=2,"A vencer","No prazo"))))</f>
        <v/>
      </c>
      <c r="AA722" s="3">
        <f>IF(OR(Y722="",Q722="Concluído"),"",Y722-TODAY())</f>
        <v/>
      </c>
      <c r="AB722" s="5" t="n"/>
      <c r="AC722" s="5" t="n"/>
      <c r="AD722" s="4" t="n"/>
    </row>
    <row r="723">
      <c r="A723" s="3">
        <f>IF(C723="","",ROW()-1)</f>
        <v/>
      </c>
      <c r="B723" s="4" t="n"/>
      <c r="C723" s="4" t="n"/>
      <c r="D723" s="5" t="n"/>
      <c r="E723" s="5" t="n"/>
      <c r="F723" s="5" t="n"/>
      <c r="G723" s="5" t="n"/>
      <c r="H723" s="5" t="n"/>
      <c r="I723" s="5" t="n"/>
      <c r="J723" s="5" t="n"/>
      <c r="K723" s="6" t="n"/>
      <c r="L723" s="6" t="n"/>
      <c r="M723" s="6" t="n"/>
      <c r="N723" s="5" t="n"/>
      <c r="O723" s="21" t="n"/>
      <c r="P723" s="5" t="n"/>
      <c r="Q723" s="5" t="n"/>
      <c r="R723" s="6" t="n"/>
      <c r="S723" s="4" t="n"/>
      <c r="T723" s="4" t="n"/>
      <c r="U723" s="3">
        <f>IF(C723="","",IF(T723="",TODAY()-C723,T723-C723))</f>
        <v/>
      </c>
      <c r="V723" s="5" t="n"/>
      <c r="W723" s="6" t="n"/>
      <c r="X723" s="3">
        <f>IF(P723="","",IFERROR(VLOOKUP(P723,Parâmetros!$J$2:$K$5,2,FALSE),""))</f>
        <v/>
      </c>
      <c r="Y723" s="4">
        <f>IF(OR(C723="",X723=""),"",C723+X723)</f>
        <v/>
      </c>
      <c r="Z723" s="5">
        <f>IF(C723="","",IF(Q723="Concluído","Concluído",IF(Y723&lt;TODAY(),"Vencido",IF(Y723-TODAY()&lt;=2,"A vencer","No prazo"))))</f>
        <v/>
      </c>
      <c r="AA723" s="3">
        <f>IF(OR(Y723="",Q723="Concluído"),"",Y723-TODAY())</f>
        <v/>
      </c>
      <c r="AB723" s="5" t="n"/>
      <c r="AC723" s="5" t="n"/>
      <c r="AD723" s="4" t="n"/>
    </row>
    <row r="724">
      <c r="A724" s="3">
        <f>IF(C724="","",ROW()-1)</f>
        <v/>
      </c>
      <c r="B724" s="4" t="n"/>
      <c r="C724" s="4" t="n"/>
      <c r="D724" s="5" t="n"/>
      <c r="E724" s="5" t="n"/>
      <c r="F724" s="5" t="n"/>
      <c r="G724" s="5" t="n"/>
      <c r="H724" s="5" t="n"/>
      <c r="I724" s="5" t="n"/>
      <c r="J724" s="5" t="n"/>
      <c r="K724" s="6" t="n"/>
      <c r="L724" s="6" t="n"/>
      <c r="M724" s="6" t="n"/>
      <c r="N724" s="5" t="n"/>
      <c r="O724" s="21" t="n"/>
      <c r="P724" s="5" t="n"/>
      <c r="Q724" s="5" t="n"/>
      <c r="R724" s="6" t="n"/>
      <c r="S724" s="4" t="n"/>
      <c r="T724" s="4" t="n"/>
      <c r="U724" s="3">
        <f>IF(C724="","",IF(T724="",TODAY()-C724,T724-C724))</f>
        <v/>
      </c>
      <c r="V724" s="5" t="n"/>
      <c r="W724" s="6" t="n"/>
      <c r="X724" s="3">
        <f>IF(P724="","",IFERROR(VLOOKUP(P724,Parâmetros!$J$2:$K$5,2,FALSE),""))</f>
        <v/>
      </c>
      <c r="Y724" s="4">
        <f>IF(OR(C724="",X724=""),"",C724+X724)</f>
        <v/>
      </c>
      <c r="Z724" s="5">
        <f>IF(C724="","",IF(Q724="Concluído","Concluído",IF(Y724&lt;TODAY(),"Vencido",IF(Y724-TODAY()&lt;=2,"A vencer","No prazo"))))</f>
        <v/>
      </c>
      <c r="AA724" s="3">
        <f>IF(OR(Y724="",Q724="Concluído"),"",Y724-TODAY())</f>
        <v/>
      </c>
      <c r="AB724" s="5" t="n"/>
      <c r="AC724" s="5" t="n"/>
      <c r="AD724" s="4" t="n"/>
    </row>
    <row r="725">
      <c r="A725" s="3">
        <f>IF(C725="","",ROW()-1)</f>
        <v/>
      </c>
      <c r="B725" s="4" t="n"/>
      <c r="C725" s="4" t="n"/>
      <c r="D725" s="5" t="n"/>
      <c r="E725" s="5" t="n"/>
      <c r="F725" s="5" t="n"/>
      <c r="G725" s="5" t="n"/>
      <c r="H725" s="5" t="n"/>
      <c r="I725" s="5" t="n"/>
      <c r="J725" s="5" t="n"/>
      <c r="K725" s="6" t="n"/>
      <c r="L725" s="6" t="n"/>
      <c r="M725" s="6" t="n"/>
      <c r="N725" s="5" t="n"/>
      <c r="O725" s="21" t="n"/>
      <c r="P725" s="5" t="n"/>
      <c r="Q725" s="5" t="n"/>
      <c r="R725" s="6" t="n"/>
      <c r="S725" s="4" t="n"/>
      <c r="T725" s="4" t="n"/>
      <c r="U725" s="3">
        <f>IF(C725="","",IF(T725="",TODAY()-C725,T725-C725))</f>
        <v/>
      </c>
      <c r="V725" s="5" t="n"/>
      <c r="W725" s="6" t="n"/>
      <c r="X725" s="3">
        <f>IF(P725="","",IFERROR(VLOOKUP(P725,Parâmetros!$J$2:$K$5,2,FALSE),""))</f>
        <v/>
      </c>
      <c r="Y725" s="4">
        <f>IF(OR(C725="",X725=""),"",C725+X725)</f>
        <v/>
      </c>
      <c r="Z725" s="5">
        <f>IF(C725="","",IF(Q725="Concluído","Concluído",IF(Y725&lt;TODAY(),"Vencido",IF(Y725-TODAY()&lt;=2,"A vencer","No prazo"))))</f>
        <v/>
      </c>
      <c r="AA725" s="3">
        <f>IF(OR(Y725="",Q725="Concluído"),"",Y725-TODAY())</f>
        <v/>
      </c>
      <c r="AB725" s="5" t="n"/>
      <c r="AC725" s="5" t="n"/>
      <c r="AD725" s="4" t="n"/>
    </row>
    <row r="726">
      <c r="A726" s="3">
        <f>IF(C726="","",ROW()-1)</f>
        <v/>
      </c>
      <c r="B726" s="4" t="n"/>
      <c r="C726" s="4" t="n"/>
      <c r="D726" s="5" t="n"/>
      <c r="E726" s="5" t="n"/>
      <c r="F726" s="5" t="n"/>
      <c r="G726" s="5" t="n"/>
      <c r="H726" s="5" t="n"/>
      <c r="I726" s="5" t="n"/>
      <c r="J726" s="5" t="n"/>
      <c r="K726" s="6" t="n"/>
      <c r="L726" s="6" t="n"/>
      <c r="M726" s="6" t="n"/>
      <c r="N726" s="5" t="n"/>
      <c r="O726" s="21" t="n"/>
      <c r="P726" s="5" t="n"/>
      <c r="Q726" s="5" t="n"/>
      <c r="R726" s="6" t="n"/>
      <c r="S726" s="4" t="n"/>
      <c r="T726" s="4" t="n"/>
      <c r="U726" s="3">
        <f>IF(C726="","",IF(T726="",TODAY()-C726,T726-C726))</f>
        <v/>
      </c>
      <c r="V726" s="5" t="n"/>
      <c r="W726" s="6" t="n"/>
      <c r="X726" s="3">
        <f>IF(P726="","",IFERROR(VLOOKUP(P726,Parâmetros!$J$2:$K$5,2,FALSE),""))</f>
        <v/>
      </c>
      <c r="Y726" s="4">
        <f>IF(OR(C726="",X726=""),"",C726+X726)</f>
        <v/>
      </c>
      <c r="Z726" s="5">
        <f>IF(C726="","",IF(Q726="Concluído","Concluído",IF(Y726&lt;TODAY(),"Vencido",IF(Y726-TODAY()&lt;=2,"A vencer","No prazo"))))</f>
        <v/>
      </c>
      <c r="AA726" s="3">
        <f>IF(OR(Y726="",Q726="Concluído"),"",Y726-TODAY())</f>
        <v/>
      </c>
      <c r="AB726" s="5" t="n"/>
      <c r="AC726" s="5" t="n"/>
      <c r="AD726" s="4" t="n"/>
    </row>
    <row r="727">
      <c r="A727" s="3">
        <f>IF(C727="","",ROW()-1)</f>
        <v/>
      </c>
      <c r="B727" s="4" t="n"/>
      <c r="C727" s="4" t="n"/>
      <c r="D727" s="5" t="n"/>
      <c r="E727" s="5" t="n"/>
      <c r="F727" s="5" t="n"/>
      <c r="G727" s="5" t="n"/>
      <c r="H727" s="5" t="n"/>
      <c r="I727" s="5" t="n"/>
      <c r="J727" s="5" t="n"/>
      <c r="K727" s="6" t="n"/>
      <c r="L727" s="6" t="n"/>
      <c r="M727" s="6" t="n"/>
      <c r="N727" s="5" t="n"/>
      <c r="O727" s="21" t="n"/>
      <c r="P727" s="5" t="n"/>
      <c r="Q727" s="5" t="n"/>
      <c r="R727" s="6" t="n"/>
      <c r="S727" s="4" t="n"/>
      <c r="T727" s="4" t="n"/>
      <c r="U727" s="3">
        <f>IF(C727="","",IF(T727="",TODAY()-C727,T727-C727))</f>
        <v/>
      </c>
      <c r="V727" s="5" t="n"/>
      <c r="W727" s="6" t="n"/>
      <c r="X727" s="3">
        <f>IF(P727="","",IFERROR(VLOOKUP(P727,Parâmetros!$J$2:$K$5,2,FALSE),""))</f>
        <v/>
      </c>
      <c r="Y727" s="4">
        <f>IF(OR(C727="",X727=""),"",C727+X727)</f>
        <v/>
      </c>
      <c r="Z727" s="5">
        <f>IF(C727="","",IF(Q727="Concluído","Concluído",IF(Y727&lt;TODAY(),"Vencido",IF(Y727-TODAY()&lt;=2,"A vencer","No prazo"))))</f>
        <v/>
      </c>
      <c r="AA727" s="3">
        <f>IF(OR(Y727="",Q727="Concluído"),"",Y727-TODAY())</f>
        <v/>
      </c>
      <c r="AB727" s="5" t="n"/>
      <c r="AC727" s="5" t="n"/>
      <c r="AD727" s="4" t="n"/>
    </row>
    <row r="728">
      <c r="A728" s="3">
        <f>IF(C728="","",ROW()-1)</f>
        <v/>
      </c>
      <c r="B728" s="4" t="n"/>
      <c r="C728" s="4" t="n"/>
      <c r="D728" s="5" t="n"/>
      <c r="E728" s="5" t="n"/>
      <c r="F728" s="5" t="n"/>
      <c r="G728" s="5" t="n"/>
      <c r="H728" s="5" t="n"/>
      <c r="I728" s="5" t="n"/>
      <c r="J728" s="5" t="n"/>
      <c r="K728" s="6" t="n"/>
      <c r="L728" s="6" t="n"/>
      <c r="M728" s="6" t="n"/>
      <c r="N728" s="5" t="n"/>
      <c r="O728" s="21" t="n"/>
      <c r="P728" s="5" t="n"/>
      <c r="Q728" s="5" t="n"/>
      <c r="R728" s="6" t="n"/>
      <c r="S728" s="4" t="n"/>
      <c r="T728" s="4" t="n"/>
      <c r="U728" s="3">
        <f>IF(C728="","",IF(T728="",TODAY()-C728,T728-C728))</f>
        <v/>
      </c>
      <c r="V728" s="5" t="n"/>
      <c r="W728" s="6" t="n"/>
      <c r="X728" s="3">
        <f>IF(P728="","",IFERROR(VLOOKUP(P728,Parâmetros!$J$2:$K$5,2,FALSE),""))</f>
        <v/>
      </c>
      <c r="Y728" s="4">
        <f>IF(OR(C728="",X728=""),"",C728+X728)</f>
        <v/>
      </c>
      <c r="Z728" s="5">
        <f>IF(C728="","",IF(Q728="Concluído","Concluído",IF(Y728&lt;TODAY(),"Vencido",IF(Y728-TODAY()&lt;=2,"A vencer","No prazo"))))</f>
        <v/>
      </c>
      <c r="AA728" s="3">
        <f>IF(OR(Y728="",Q728="Concluído"),"",Y728-TODAY())</f>
        <v/>
      </c>
      <c r="AB728" s="5" t="n"/>
      <c r="AC728" s="5" t="n"/>
      <c r="AD728" s="4" t="n"/>
    </row>
    <row r="729">
      <c r="A729" s="3">
        <f>IF(C729="","",ROW()-1)</f>
        <v/>
      </c>
      <c r="B729" s="4" t="n"/>
      <c r="C729" s="4" t="n"/>
      <c r="D729" s="5" t="n"/>
      <c r="E729" s="5" t="n"/>
      <c r="F729" s="5" t="n"/>
      <c r="G729" s="5" t="n"/>
      <c r="H729" s="5" t="n"/>
      <c r="I729" s="5" t="n"/>
      <c r="J729" s="5" t="n"/>
      <c r="K729" s="6" t="n"/>
      <c r="L729" s="6" t="n"/>
      <c r="M729" s="6" t="n"/>
      <c r="N729" s="5" t="n"/>
      <c r="O729" s="21" t="n"/>
      <c r="P729" s="5" t="n"/>
      <c r="Q729" s="5" t="n"/>
      <c r="R729" s="6" t="n"/>
      <c r="S729" s="4" t="n"/>
      <c r="T729" s="4" t="n"/>
      <c r="U729" s="3">
        <f>IF(C729="","",IF(T729="",TODAY()-C729,T729-C729))</f>
        <v/>
      </c>
      <c r="V729" s="5" t="n"/>
      <c r="W729" s="6" t="n"/>
      <c r="X729" s="3">
        <f>IF(P729="","",IFERROR(VLOOKUP(P729,Parâmetros!$J$2:$K$5,2,FALSE),""))</f>
        <v/>
      </c>
      <c r="Y729" s="4">
        <f>IF(OR(C729="",X729=""),"",C729+X729)</f>
        <v/>
      </c>
      <c r="Z729" s="5">
        <f>IF(C729="","",IF(Q729="Concluído","Concluído",IF(Y729&lt;TODAY(),"Vencido",IF(Y729-TODAY()&lt;=2,"A vencer","No prazo"))))</f>
        <v/>
      </c>
      <c r="AA729" s="3">
        <f>IF(OR(Y729="",Q729="Concluído"),"",Y729-TODAY())</f>
        <v/>
      </c>
      <c r="AB729" s="5" t="n"/>
      <c r="AC729" s="5" t="n"/>
      <c r="AD729" s="4" t="n"/>
    </row>
    <row r="730">
      <c r="A730" s="3">
        <f>IF(C730="","",ROW()-1)</f>
        <v/>
      </c>
      <c r="B730" s="4" t="n"/>
      <c r="C730" s="4" t="n"/>
      <c r="D730" s="5" t="n"/>
      <c r="E730" s="5" t="n"/>
      <c r="F730" s="5" t="n"/>
      <c r="G730" s="5" t="n"/>
      <c r="H730" s="5" t="n"/>
      <c r="I730" s="5" t="n"/>
      <c r="J730" s="5" t="n"/>
      <c r="K730" s="6" t="n"/>
      <c r="L730" s="6" t="n"/>
      <c r="M730" s="6" t="n"/>
      <c r="N730" s="5" t="n"/>
      <c r="O730" s="21" t="n"/>
      <c r="P730" s="5" t="n"/>
      <c r="Q730" s="5" t="n"/>
      <c r="R730" s="6" t="n"/>
      <c r="S730" s="4" t="n"/>
      <c r="T730" s="4" t="n"/>
      <c r="U730" s="3">
        <f>IF(C730="","",IF(T730="",TODAY()-C730,T730-C730))</f>
        <v/>
      </c>
      <c r="V730" s="5" t="n"/>
      <c r="W730" s="6" t="n"/>
      <c r="X730" s="3">
        <f>IF(P730="","",IFERROR(VLOOKUP(P730,Parâmetros!$J$2:$K$5,2,FALSE),""))</f>
        <v/>
      </c>
      <c r="Y730" s="4">
        <f>IF(OR(C730="",X730=""),"",C730+X730)</f>
        <v/>
      </c>
      <c r="Z730" s="5">
        <f>IF(C730="","",IF(Q730="Concluído","Concluído",IF(Y730&lt;TODAY(),"Vencido",IF(Y730-TODAY()&lt;=2,"A vencer","No prazo"))))</f>
        <v/>
      </c>
      <c r="AA730" s="3">
        <f>IF(OR(Y730="",Q730="Concluído"),"",Y730-TODAY())</f>
        <v/>
      </c>
      <c r="AB730" s="5" t="n"/>
      <c r="AC730" s="5" t="n"/>
      <c r="AD730" s="4" t="n"/>
    </row>
    <row r="731">
      <c r="A731" s="3">
        <f>IF(C731="","",ROW()-1)</f>
        <v/>
      </c>
      <c r="B731" s="4" t="n"/>
      <c r="C731" s="4" t="n"/>
      <c r="D731" s="5" t="n"/>
      <c r="E731" s="5" t="n"/>
      <c r="F731" s="5" t="n"/>
      <c r="G731" s="5" t="n"/>
      <c r="H731" s="5" t="n"/>
      <c r="I731" s="5" t="n"/>
      <c r="J731" s="5" t="n"/>
      <c r="K731" s="6" t="n"/>
      <c r="L731" s="6" t="n"/>
      <c r="M731" s="6" t="n"/>
      <c r="N731" s="5" t="n"/>
      <c r="O731" s="21" t="n"/>
      <c r="P731" s="5" t="n"/>
      <c r="Q731" s="5" t="n"/>
      <c r="R731" s="6" t="n"/>
      <c r="S731" s="4" t="n"/>
      <c r="T731" s="4" t="n"/>
      <c r="U731" s="3">
        <f>IF(C731="","",IF(T731="",TODAY()-C731,T731-C731))</f>
        <v/>
      </c>
      <c r="V731" s="5" t="n"/>
      <c r="W731" s="6" t="n"/>
      <c r="X731" s="3">
        <f>IF(P731="","",IFERROR(VLOOKUP(P731,Parâmetros!$J$2:$K$5,2,FALSE),""))</f>
        <v/>
      </c>
      <c r="Y731" s="4">
        <f>IF(OR(C731="",X731=""),"",C731+X731)</f>
        <v/>
      </c>
      <c r="Z731" s="5">
        <f>IF(C731="","",IF(Q731="Concluído","Concluído",IF(Y731&lt;TODAY(),"Vencido",IF(Y731-TODAY()&lt;=2,"A vencer","No prazo"))))</f>
        <v/>
      </c>
      <c r="AA731" s="3">
        <f>IF(OR(Y731="",Q731="Concluído"),"",Y731-TODAY())</f>
        <v/>
      </c>
      <c r="AB731" s="5" t="n"/>
      <c r="AC731" s="5" t="n"/>
      <c r="AD731" s="4" t="n"/>
    </row>
    <row r="732">
      <c r="A732" s="3">
        <f>IF(C732="","",ROW()-1)</f>
        <v/>
      </c>
      <c r="B732" s="4" t="n"/>
      <c r="C732" s="4" t="n"/>
      <c r="D732" s="5" t="n"/>
      <c r="E732" s="5" t="n"/>
      <c r="F732" s="5" t="n"/>
      <c r="G732" s="5" t="n"/>
      <c r="H732" s="5" t="n"/>
      <c r="I732" s="5" t="n"/>
      <c r="J732" s="5" t="n"/>
      <c r="K732" s="6" t="n"/>
      <c r="L732" s="6" t="n"/>
      <c r="M732" s="6" t="n"/>
      <c r="N732" s="5" t="n"/>
      <c r="O732" s="21" t="n"/>
      <c r="P732" s="5" t="n"/>
      <c r="Q732" s="5" t="n"/>
      <c r="R732" s="6" t="n"/>
      <c r="S732" s="4" t="n"/>
      <c r="T732" s="4" t="n"/>
      <c r="U732" s="3">
        <f>IF(C732="","",IF(T732="",TODAY()-C732,T732-C732))</f>
        <v/>
      </c>
      <c r="V732" s="5" t="n"/>
      <c r="W732" s="6" t="n"/>
      <c r="X732" s="3">
        <f>IF(P732="","",IFERROR(VLOOKUP(P732,Parâmetros!$J$2:$K$5,2,FALSE),""))</f>
        <v/>
      </c>
      <c r="Y732" s="4">
        <f>IF(OR(C732="",X732=""),"",C732+X732)</f>
        <v/>
      </c>
      <c r="Z732" s="5">
        <f>IF(C732="","",IF(Q732="Concluído","Concluído",IF(Y732&lt;TODAY(),"Vencido",IF(Y732-TODAY()&lt;=2,"A vencer","No prazo"))))</f>
        <v/>
      </c>
      <c r="AA732" s="3">
        <f>IF(OR(Y732="",Q732="Concluído"),"",Y732-TODAY())</f>
        <v/>
      </c>
      <c r="AB732" s="5" t="n"/>
      <c r="AC732" s="5" t="n"/>
      <c r="AD732" s="4" t="n"/>
    </row>
    <row r="733">
      <c r="A733" s="3">
        <f>IF(C733="","",ROW()-1)</f>
        <v/>
      </c>
      <c r="B733" s="4" t="n"/>
      <c r="C733" s="4" t="n"/>
      <c r="D733" s="5" t="n"/>
      <c r="E733" s="5" t="n"/>
      <c r="F733" s="5" t="n"/>
      <c r="G733" s="5" t="n"/>
      <c r="H733" s="5" t="n"/>
      <c r="I733" s="5" t="n"/>
      <c r="J733" s="5" t="n"/>
      <c r="K733" s="6" t="n"/>
      <c r="L733" s="6" t="n"/>
      <c r="M733" s="6" t="n"/>
      <c r="N733" s="5" t="n"/>
      <c r="O733" s="21" t="n"/>
      <c r="P733" s="5" t="n"/>
      <c r="Q733" s="5" t="n"/>
      <c r="R733" s="6" t="n"/>
      <c r="S733" s="4" t="n"/>
      <c r="T733" s="4" t="n"/>
      <c r="U733" s="3">
        <f>IF(C733="","",IF(T733="",TODAY()-C733,T733-C733))</f>
        <v/>
      </c>
      <c r="V733" s="5" t="n"/>
      <c r="W733" s="6" t="n"/>
      <c r="X733" s="3">
        <f>IF(P733="","",IFERROR(VLOOKUP(P733,Parâmetros!$J$2:$K$5,2,FALSE),""))</f>
        <v/>
      </c>
      <c r="Y733" s="4">
        <f>IF(OR(C733="",X733=""),"",C733+X733)</f>
        <v/>
      </c>
      <c r="Z733" s="5">
        <f>IF(C733="","",IF(Q733="Concluído","Concluído",IF(Y733&lt;TODAY(),"Vencido",IF(Y733-TODAY()&lt;=2,"A vencer","No prazo"))))</f>
        <v/>
      </c>
      <c r="AA733" s="3">
        <f>IF(OR(Y733="",Q733="Concluído"),"",Y733-TODAY())</f>
        <v/>
      </c>
      <c r="AB733" s="5" t="n"/>
      <c r="AC733" s="5" t="n"/>
      <c r="AD733" s="4" t="n"/>
    </row>
    <row r="734">
      <c r="A734" s="3">
        <f>IF(C734="","",ROW()-1)</f>
        <v/>
      </c>
      <c r="B734" s="4" t="n"/>
      <c r="C734" s="4" t="n"/>
      <c r="D734" s="5" t="n"/>
      <c r="E734" s="5" t="n"/>
      <c r="F734" s="5" t="n"/>
      <c r="G734" s="5" t="n"/>
      <c r="H734" s="5" t="n"/>
      <c r="I734" s="5" t="n"/>
      <c r="J734" s="5" t="n"/>
      <c r="K734" s="6" t="n"/>
      <c r="L734" s="6" t="n"/>
      <c r="M734" s="6" t="n"/>
      <c r="N734" s="5" t="n"/>
      <c r="O734" s="21" t="n"/>
      <c r="P734" s="5" t="n"/>
      <c r="Q734" s="5" t="n"/>
      <c r="R734" s="6" t="n"/>
      <c r="S734" s="4" t="n"/>
      <c r="T734" s="4" t="n"/>
      <c r="U734" s="3">
        <f>IF(C734="","",IF(T734="",TODAY()-C734,T734-C734))</f>
        <v/>
      </c>
      <c r="V734" s="5" t="n"/>
      <c r="W734" s="6" t="n"/>
      <c r="X734" s="3">
        <f>IF(P734="","",IFERROR(VLOOKUP(P734,Parâmetros!$J$2:$K$5,2,FALSE),""))</f>
        <v/>
      </c>
      <c r="Y734" s="4">
        <f>IF(OR(C734="",X734=""),"",C734+X734)</f>
        <v/>
      </c>
      <c r="Z734" s="5">
        <f>IF(C734="","",IF(Q734="Concluído","Concluído",IF(Y734&lt;TODAY(),"Vencido",IF(Y734-TODAY()&lt;=2,"A vencer","No prazo"))))</f>
        <v/>
      </c>
      <c r="AA734" s="3">
        <f>IF(OR(Y734="",Q734="Concluído"),"",Y734-TODAY())</f>
        <v/>
      </c>
      <c r="AB734" s="5" t="n"/>
      <c r="AC734" s="5" t="n"/>
      <c r="AD734" s="4" t="n"/>
    </row>
    <row r="735">
      <c r="A735" s="3">
        <f>IF(C735="","",ROW()-1)</f>
        <v/>
      </c>
      <c r="B735" s="4" t="n"/>
      <c r="C735" s="4" t="n"/>
      <c r="D735" s="5" t="n"/>
      <c r="E735" s="5" t="n"/>
      <c r="F735" s="5" t="n"/>
      <c r="G735" s="5" t="n"/>
      <c r="H735" s="5" t="n"/>
      <c r="I735" s="5" t="n"/>
      <c r="J735" s="5" t="n"/>
      <c r="K735" s="6" t="n"/>
      <c r="L735" s="6" t="n"/>
      <c r="M735" s="6" t="n"/>
      <c r="N735" s="5" t="n"/>
      <c r="O735" s="21" t="n"/>
      <c r="P735" s="5" t="n"/>
      <c r="Q735" s="5" t="n"/>
      <c r="R735" s="6" t="n"/>
      <c r="S735" s="4" t="n"/>
      <c r="T735" s="4" t="n"/>
      <c r="U735" s="3">
        <f>IF(C735="","",IF(T735="",TODAY()-C735,T735-C735))</f>
        <v/>
      </c>
      <c r="V735" s="5" t="n"/>
      <c r="W735" s="6" t="n"/>
      <c r="X735" s="3">
        <f>IF(P735="","",IFERROR(VLOOKUP(P735,Parâmetros!$J$2:$K$5,2,FALSE),""))</f>
        <v/>
      </c>
      <c r="Y735" s="4">
        <f>IF(OR(C735="",X735=""),"",C735+X735)</f>
        <v/>
      </c>
      <c r="Z735" s="5">
        <f>IF(C735="","",IF(Q735="Concluído","Concluído",IF(Y735&lt;TODAY(),"Vencido",IF(Y735-TODAY()&lt;=2,"A vencer","No prazo"))))</f>
        <v/>
      </c>
      <c r="AA735" s="3">
        <f>IF(OR(Y735="",Q735="Concluído"),"",Y735-TODAY())</f>
        <v/>
      </c>
      <c r="AB735" s="5" t="n"/>
      <c r="AC735" s="5" t="n"/>
      <c r="AD735" s="4" t="n"/>
    </row>
    <row r="736">
      <c r="A736" s="3">
        <f>IF(C736="","",ROW()-1)</f>
        <v/>
      </c>
      <c r="B736" s="4" t="n"/>
      <c r="C736" s="4" t="n"/>
      <c r="D736" s="5" t="n"/>
      <c r="E736" s="5" t="n"/>
      <c r="F736" s="5" t="n"/>
      <c r="G736" s="5" t="n"/>
      <c r="H736" s="5" t="n"/>
      <c r="I736" s="5" t="n"/>
      <c r="J736" s="5" t="n"/>
      <c r="K736" s="6" t="n"/>
      <c r="L736" s="6" t="n"/>
      <c r="M736" s="6" t="n"/>
      <c r="N736" s="5" t="n"/>
      <c r="O736" s="21" t="n"/>
      <c r="P736" s="5" t="n"/>
      <c r="Q736" s="5" t="n"/>
      <c r="R736" s="6" t="n"/>
      <c r="S736" s="4" t="n"/>
      <c r="T736" s="4" t="n"/>
      <c r="U736" s="3">
        <f>IF(C736="","",IF(T736="",TODAY()-C736,T736-C736))</f>
        <v/>
      </c>
      <c r="V736" s="5" t="n"/>
      <c r="W736" s="6" t="n"/>
      <c r="X736" s="3">
        <f>IF(P736="","",IFERROR(VLOOKUP(P736,Parâmetros!$J$2:$K$5,2,FALSE),""))</f>
        <v/>
      </c>
      <c r="Y736" s="4">
        <f>IF(OR(C736="",X736=""),"",C736+X736)</f>
        <v/>
      </c>
      <c r="Z736" s="5">
        <f>IF(C736="","",IF(Q736="Concluído","Concluído",IF(Y736&lt;TODAY(),"Vencido",IF(Y736-TODAY()&lt;=2,"A vencer","No prazo"))))</f>
        <v/>
      </c>
      <c r="AA736" s="3">
        <f>IF(OR(Y736="",Q736="Concluído"),"",Y736-TODAY())</f>
        <v/>
      </c>
      <c r="AB736" s="5" t="n"/>
      <c r="AC736" s="5" t="n"/>
      <c r="AD736" s="4" t="n"/>
    </row>
    <row r="737">
      <c r="A737" s="3">
        <f>IF(C737="","",ROW()-1)</f>
        <v/>
      </c>
      <c r="B737" s="4" t="n"/>
      <c r="C737" s="4" t="n"/>
      <c r="D737" s="5" t="n"/>
      <c r="E737" s="5" t="n"/>
      <c r="F737" s="5" t="n"/>
      <c r="G737" s="5" t="n"/>
      <c r="H737" s="5" t="n"/>
      <c r="I737" s="5" t="n"/>
      <c r="J737" s="5" t="n"/>
      <c r="K737" s="6" t="n"/>
      <c r="L737" s="6" t="n"/>
      <c r="M737" s="6" t="n"/>
      <c r="N737" s="5" t="n"/>
      <c r="O737" s="21" t="n"/>
      <c r="P737" s="5" t="n"/>
      <c r="Q737" s="5" t="n"/>
      <c r="R737" s="6" t="n"/>
      <c r="S737" s="4" t="n"/>
      <c r="T737" s="4" t="n"/>
      <c r="U737" s="3">
        <f>IF(C737="","",IF(T737="",TODAY()-C737,T737-C737))</f>
        <v/>
      </c>
      <c r="V737" s="5" t="n"/>
      <c r="W737" s="6" t="n"/>
      <c r="X737" s="3">
        <f>IF(P737="","",IFERROR(VLOOKUP(P737,Parâmetros!$J$2:$K$5,2,FALSE),""))</f>
        <v/>
      </c>
      <c r="Y737" s="4">
        <f>IF(OR(C737="",X737=""),"",C737+X737)</f>
        <v/>
      </c>
      <c r="Z737" s="5">
        <f>IF(C737="","",IF(Q737="Concluído","Concluído",IF(Y737&lt;TODAY(),"Vencido",IF(Y737-TODAY()&lt;=2,"A vencer","No prazo"))))</f>
        <v/>
      </c>
      <c r="AA737" s="3">
        <f>IF(OR(Y737="",Q737="Concluído"),"",Y737-TODAY())</f>
        <v/>
      </c>
      <c r="AB737" s="5" t="n"/>
      <c r="AC737" s="5" t="n"/>
      <c r="AD737" s="4" t="n"/>
    </row>
    <row r="738">
      <c r="A738" s="3">
        <f>IF(C738="","",ROW()-1)</f>
        <v/>
      </c>
      <c r="B738" s="4" t="n"/>
      <c r="C738" s="4" t="n"/>
      <c r="D738" s="5" t="n"/>
      <c r="E738" s="5" t="n"/>
      <c r="F738" s="5" t="n"/>
      <c r="G738" s="5" t="n"/>
      <c r="H738" s="5" t="n"/>
      <c r="I738" s="5" t="n"/>
      <c r="J738" s="5" t="n"/>
      <c r="K738" s="6" t="n"/>
      <c r="L738" s="6" t="n"/>
      <c r="M738" s="6" t="n"/>
      <c r="N738" s="5" t="n"/>
      <c r="O738" s="21" t="n"/>
      <c r="P738" s="5" t="n"/>
      <c r="Q738" s="5" t="n"/>
      <c r="R738" s="6" t="n"/>
      <c r="S738" s="4" t="n"/>
      <c r="T738" s="4" t="n"/>
      <c r="U738" s="3">
        <f>IF(C738="","",IF(T738="",TODAY()-C738,T738-C738))</f>
        <v/>
      </c>
      <c r="V738" s="5" t="n"/>
      <c r="W738" s="6" t="n"/>
      <c r="X738" s="3">
        <f>IF(P738="","",IFERROR(VLOOKUP(P738,Parâmetros!$J$2:$K$5,2,FALSE),""))</f>
        <v/>
      </c>
      <c r="Y738" s="4">
        <f>IF(OR(C738="",X738=""),"",C738+X738)</f>
        <v/>
      </c>
      <c r="Z738" s="5">
        <f>IF(C738="","",IF(Q738="Concluído","Concluído",IF(Y738&lt;TODAY(),"Vencido",IF(Y738-TODAY()&lt;=2,"A vencer","No prazo"))))</f>
        <v/>
      </c>
      <c r="AA738" s="3">
        <f>IF(OR(Y738="",Q738="Concluído"),"",Y738-TODAY())</f>
        <v/>
      </c>
      <c r="AB738" s="5" t="n"/>
      <c r="AC738" s="5" t="n"/>
      <c r="AD738" s="4" t="n"/>
    </row>
    <row r="739">
      <c r="A739" s="3">
        <f>IF(C739="","",ROW()-1)</f>
        <v/>
      </c>
      <c r="B739" s="4" t="n"/>
      <c r="C739" s="4" t="n"/>
      <c r="D739" s="5" t="n"/>
      <c r="E739" s="5" t="n"/>
      <c r="F739" s="5" t="n"/>
      <c r="G739" s="5" t="n"/>
      <c r="H739" s="5" t="n"/>
      <c r="I739" s="5" t="n"/>
      <c r="J739" s="5" t="n"/>
      <c r="K739" s="6" t="n"/>
      <c r="L739" s="6" t="n"/>
      <c r="M739" s="6" t="n"/>
      <c r="N739" s="5" t="n"/>
      <c r="O739" s="21" t="n"/>
      <c r="P739" s="5" t="n"/>
      <c r="Q739" s="5" t="n"/>
      <c r="R739" s="6" t="n"/>
      <c r="S739" s="4" t="n"/>
      <c r="T739" s="4" t="n"/>
      <c r="U739" s="3">
        <f>IF(C739="","",IF(T739="",TODAY()-C739,T739-C739))</f>
        <v/>
      </c>
      <c r="V739" s="5" t="n"/>
      <c r="W739" s="6" t="n"/>
      <c r="X739" s="3">
        <f>IF(P739="","",IFERROR(VLOOKUP(P739,Parâmetros!$J$2:$K$5,2,FALSE),""))</f>
        <v/>
      </c>
      <c r="Y739" s="4">
        <f>IF(OR(C739="",X739=""),"",C739+X739)</f>
        <v/>
      </c>
      <c r="Z739" s="5">
        <f>IF(C739="","",IF(Q739="Concluído","Concluído",IF(Y739&lt;TODAY(),"Vencido",IF(Y739-TODAY()&lt;=2,"A vencer","No prazo"))))</f>
        <v/>
      </c>
      <c r="AA739" s="3">
        <f>IF(OR(Y739="",Q739="Concluído"),"",Y739-TODAY())</f>
        <v/>
      </c>
      <c r="AB739" s="5" t="n"/>
      <c r="AC739" s="5" t="n"/>
      <c r="AD739" s="4" t="n"/>
    </row>
    <row r="740">
      <c r="A740" s="3">
        <f>IF(C740="","",ROW()-1)</f>
        <v/>
      </c>
      <c r="B740" s="4" t="n"/>
      <c r="C740" s="4" t="n"/>
      <c r="D740" s="5" t="n"/>
      <c r="E740" s="5" t="n"/>
      <c r="F740" s="5" t="n"/>
      <c r="G740" s="5" t="n"/>
      <c r="H740" s="5" t="n"/>
      <c r="I740" s="5" t="n"/>
      <c r="J740" s="5" t="n"/>
      <c r="K740" s="6" t="n"/>
      <c r="L740" s="6" t="n"/>
      <c r="M740" s="6" t="n"/>
      <c r="N740" s="5" t="n"/>
      <c r="O740" s="21" t="n"/>
      <c r="P740" s="5" t="n"/>
      <c r="Q740" s="5" t="n"/>
      <c r="R740" s="6" t="n"/>
      <c r="S740" s="4" t="n"/>
      <c r="T740" s="4" t="n"/>
      <c r="U740" s="3">
        <f>IF(C740="","",IF(T740="",TODAY()-C740,T740-C740))</f>
        <v/>
      </c>
      <c r="V740" s="5" t="n"/>
      <c r="W740" s="6" t="n"/>
      <c r="X740" s="3">
        <f>IF(P740="","",IFERROR(VLOOKUP(P740,Parâmetros!$J$2:$K$5,2,FALSE),""))</f>
        <v/>
      </c>
      <c r="Y740" s="4">
        <f>IF(OR(C740="",X740=""),"",C740+X740)</f>
        <v/>
      </c>
      <c r="Z740" s="5">
        <f>IF(C740="","",IF(Q740="Concluído","Concluído",IF(Y740&lt;TODAY(),"Vencido",IF(Y740-TODAY()&lt;=2,"A vencer","No prazo"))))</f>
        <v/>
      </c>
      <c r="AA740" s="3">
        <f>IF(OR(Y740="",Q740="Concluído"),"",Y740-TODAY())</f>
        <v/>
      </c>
      <c r="AB740" s="5" t="n"/>
      <c r="AC740" s="5" t="n"/>
      <c r="AD740" s="4" t="n"/>
    </row>
    <row r="741">
      <c r="A741" s="3">
        <f>IF(C741="","",ROW()-1)</f>
        <v/>
      </c>
      <c r="B741" s="4" t="n"/>
      <c r="C741" s="4" t="n"/>
      <c r="D741" s="5" t="n"/>
      <c r="E741" s="5" t="n"/>
      <c r="F741" s="5" t="n"/>
      <c r="G741" s="5" t="n"/>
      <c r="H741" s="5" t="n"/>
      <c r="I741" s="5" t="n"/>
      <c r="J741" s="5" t="n"/>
      <c r="K741" s="6" t="n"/>
      <c r="L741" s="6" t="n"/>
      <c r="M741" s="6" t="n"/>
      <c r="N741" s="5" t="n"/>
      <c r="O741" s="21" t="n"/>
      <c r="P741" s="5" t="n"/>
      <c r="Q741" s="5" t="n"/>
      <c r="R741" s="6" t="n"/>
      <c r="S741" s="4" t="n"/>
      <c r="T741" s="4" t="n"/>
      <c r="U741" s="3">
        <f>IF(C741="","",IF(T741="",TODAY()-C741,T741-C741))</f>
        <v/>
      </c>
      <c r="V741" s="5" t="n"/>
      <c r="W741" s="6" t="n"/>
      <c r="X741" s="3">
        <f>IF(P741="","",IFERROR(VLOOKUP(P741,Parâmetros!$J$2:$K$5,2,FALSE),""))</f>
        <v/>
      </c>
      <c r="Y741" s="4">
        <f>IF(OR(C741="",X741=""),"",C741+X741)</f>
        <v/>
      </c>
      <c r="Z741" s="5">
        <f>IF(C741="","",IF(Q741="Concluído","Concluído",IF(Y741&lt;TODAY(),"Vencido",IF(Y741-TODAY()&lt;=2,"A vencer","No prazo"))))</f>
        <v/>
      </c>
      <c r="AA741" s="3">
        <f>IF(OR(Y741="",Q741="Concluído"),"",Y741-TODAY())</f>
        <v/>
      </c>
      <c r="AB741" s="5" t="n"/>
      <c r="AC741" s="5" t="n"/>
      <c r="AD741" s="4" t="n"/>
    </row>
    <row r="742">
      <c r="A742" s="3">
        <f>IF(C742="","",ROW()-1)</f>
        <v/>
      </c>
      <c r="B742" s="4" t="n"/>
      <c r="C742" s="4" t="n"/>
      <c r="D742" s="5" t="n"/>
      <c r="E742" s="5" t="n"/>
      <c r="F742" s="5" t="n"/>
      <c r="G742" s="5" t="n"/>
      <c r="H742" s="5" t="n"/>
      <c r="I742" s="5" t="n"/>
      <c r="J742" s="5" t="n"/>
      <c r="K742" s="6" t="n"/>
      <c r="L742" s="6" t="n"/>
      <c r="M742" s="6" t="n"/>
      <c r="N742" s="5" t="n"/>
      <c r="O742" s="21" t="n"/>
      <c r="P742" s="5" t="n"/>
      <c r="Q742" s="5" t="n"/>
      <c r="R742" s="6" t="n"/>
      <c r="S742" s="4" t="n"/>
      <c r="T742" s="4" t="n"/>
      <c r="U742" s="3">
        <f>IF(C742="","",IF(T742="",TODAY()-C742,T742-C742))</f>
        <v/>
      </c>
      <c r="V742" s="5" t="n"/>
      <c r="W742" s="6" t="n"/>
      <c r="X742" s="3">
        <f>IF(P742="","",IFERROR(VLOOKUP(P742,Parâmetros!$J$2:$K$5,2,FALSE),""))</f>
        <v/>
      </c>
      <c r="Y742" s="4">
        <f>IF(OR(C742="",X742=""),"",C742+X742)</f>
        <v/>
      </c>
      <c r="Z742" s="5">
        <f>IF(C742="","",IF(Q742="Concluído","Concluído",IF(Y742&lt;TODAY(),"Vencido",IF(Y742-TODAY()&lt;=2,"A vencer","No prazo"))))</f>
        <v/>
      </c>
      <c r="AA742" s="3">
        <f>IF(OR(Y742="",Q742="Concluído"),"",Y742-TODAY())</f>
        <v/>
      </c>
      <c r="AB742" s="5" t="n"/>
      <c r="AC742" s="5" t="n"/>
      <c r="AD742" s="4" t="n"/>
    </row>
    <row r="743">
      <c r="A743" s="3">
        <f>IF(C743="","",ROW()-1)</f>
        <v/>
      </c>
      <c r="B743" s="4" t="n"/>
      <c r="C743" s="4" t="n"/>
      <c r="D743" s="5" t="n"/>
      <c r="E743" s="5" t="n"/>
      <c r="F743" s="5" t="n"/>
      <c r="G743" s="5" t="n"/>
      <c r="H743" s="5" t="n"/>
      <c r="I743" s="5" t="n"/>
      <c r="J743" s="5" t="n"/>
      <c r="K743" s="6" t="n"/>
      <c r="L743" s="6" t="n"/>
      <c r="M743" s="6" t="n"/>
      <c r="N743" s="5" t="n"/>
      <c r="O743" s="21" t="n"/>
      <c r="P743" s="5" t="n"/>
      <c r="Q743" s="5" t="n"/>
      <c r="R743" s="6" t="n"/>
      <c r="S743" s="4" t="n"/>
      <c r="T743" s="4" t="n"/>
      <c r="U743" s="3">
        <f>IF(C743="","",IF(T743="",TODAY()-C743,T743-C743))</f>
        <v/>
      </c>
      <c r="V743" s="5" t="n"/>
      <c r="W743" s="6" t="n"/>
      <c r="X743" s="3">
        <f>IF(P743="","",IFERROR(VLOOKUP(P743,Parâmetros!$J$2:$K$5,2,FALSE),""))</f>
        <v/>
      </c>
      <c r="Y743" s="4">
        <f>IF(OR(C743="",X743=""),"",C743+X743)</f>
        <v/>
      </c>
      <c r="Z743" s="5">
        <f>IF(C743="","",IF(Q743="Concluído","Concluído",IF(Y743&lt;TODAY(),"Vencido",IF(Y743-TODAY()&lt;=2,"A vencer","No prazo"))))</f>
        <v/>
      </c>
      <c r="AA743" s="3">
        <f>IF(OR(Y743="",Q743="Concluído"),"",Y743-TODAY())</f>
        <v/>
      </c>
      <c r="AB743" s="5" t="n"/>
      <c r="AC743" s="5" t="n"/>
      <c r="AD743" s="4" t="n"/>
    </row>
    <row r="744">
      <c r="A744" s="3">
        <f>IF(C744="","",ROW()-1)</f>
        <v/>
      </c>
      <c r="B744" s="4" t="n"/>
      <c r="C744" s="4" t="n"/>
      <c r="D744" s="5" t="n"/>
      <c r="E744" s="5" t="n"/>
      <c r="F744" s="5" t="n"/>
      <c r="G744" s="5" t="n"/>
      <c r="H744" s="5" t="n"/>
      <c r="I744" s="5" t="n"/>
      <c r="J744" s="5" t="n"/>
      <c r="K744" s="6" t="n"/>
      <c r="L744" s="6" t="n"/>
      <c r="M744" s="6" t="n"/>
      <c r="N744" s="5" t="n"/>
      <c r="O744" s="21" t="n"/>
      <c r="P744" s="5" t="n"/>
      <c r="Q744" s="5" t="n"/>
      <c r="R744" s="6" t="n"/>
      <c r="S744" s="4" t="n"/>
      <c r="T744" s="4" t="n"/>
      <c r="U744" s="3">
        <f>IF(C744="","",IF(T744="",TODAY()-C744,T744-C744))</f>
        <v/>
      </c>
      <c r="V744" s="5" t="n"/>
      <c r="W744" s="6" t="n"/>
      <c r="X744" s="3">
        <f>IF(P744="","",IFERROR(VLOOKUP(P744,Parâmetros!$J$2:$K$5,2,FALSE),""))</f>
        <v/>
      </c>
      <c r="Y744" s="4">
        <f>IF(OR(C744="",X744=""),"",C744+X744)</f>
        <v/>
      </c>
      <c r="Z744" s="5">
        <f>IF(C744="","",IF(Q744="Concluído","Concluído",IF(Y744&lt;TODAY(),"Vencido",IF(Y744-TODAY()&lt;=2,"A vencer","No prazo"))))</f>
        <v/>
      </c>
      <c r="AA744" s="3">
        <f>IF(OR(Y744="",Q744="Concluído"),"",Y744-TODAY())</f>
        <v/>
      </c>
      <c r="AB744" s="5" t="n"/>
      <c r="AC744" s="5" t="n"/>
      <c r="AD744" s="4" t="n"/>
    </row>
    <row r="745">
      <c r="A745" s="3">
        <f>IF(C745="","",ROW()-1)</f>
        <v/>
      </c>
      <c r="B745" s="4" t="n"/>
      <c r="C745" s="4" t="n"/>
      <c r="D745" s="5" t="n"/>
      <c r="E745" s="5" t="n"/>
      <c r="F745" s="5" t="n"/>
      <c r="G745" s="5" t="n"/>
      <c r="H745" s="5" t="n"/>
      <c r="I745" s="5" t="n"/>
      <c r="J745" s="5" t="n"/>
      <c r="K745" s="6" t="n"/>
      <c r="L745" s="6" t="n"/>
      <c r="M745" s="6" t="n"/>
      <c r="N745" s="5" t="n"/>
      <c r="O745" s="21" t="n"/>
      <c r="P745" s="5" t="n"/>
      <c r="Q745" s="5" t="n"/>
      <c r="R745" s="6" t="n"/>
      <c r="S745" s="4" t="n"/>
      <c r="T745" s="4" t="n"/>
      <c r="U745" s="3">
        <f>IF(C745="","",IF(T745="",TODAY()-C745,T745-C745))</f>
        <v/>
      </c>
      <c r="V745" s="5" t="n"/>
      <c r="W745" s="6" t="n"/>
      <c r="X745" s="3">
        <f>IF(P745="","",IFERROR(VLOOKUP(P745,Parâmetros!$J$2:$K$5,2,FALSE),""))</f>
        <v/>
      </c>
      <c r="Y745" s="4">
        <f>IF(OR(C745="",X745=""),"",C745+X745)</f>
        <v/>
      </c>
      <c r="Z745" s="5">
        <f>IF(C745="","",IF(Q745="Concluído","Concluído",IF(Y745&lt;TODAY(),"Vencido",IF(Y745-TODAY()&lt;=2,"A vencer","No prazo"))))</f>
        <v/>
      </c>
      <c r="AA745" s="3">
        <f>IF(OR(Y745="",Q745="Concluído"),"",Y745-TODAY())</f>
        <v/>
      </c>
      <c r="AB745" s="5" t="n"/>
      <c r="AC745" s="5" t="n"/>
      <c r="AD745" s="4" t="n"/>
    </row>
    <row r="746">
      <c r="A746" s="3">
        <f>IF(C746="","",ROW()-1)</f>
        <v/>
      </c>
      <c r="B746" s="4" t="n"/>
      <c r="C746" s="4" t="n"/>
      <c r="D746" s="5" t="n"/>
      <c r="E746" s="5" t="n"/>
      <c r="F746" s="5" t="n"/>
      <c r="G746" s="5" t="n"/>
      <c r="H746" s="5" t="n"/>
      <c r="I746" s="5" t="n"/>
      <c r="J746" s="5" t="n"/>
      <c r="K746" s="6" t="n"/>
      <c r="L746" s="6" t="n"/>
      <c r="M746" s="6" t="n"/>
      <c r="N746" s="5" t="n"/>
      <c r="O746" s="21" t="n"/>
      <c r="P746" s="5" t="n"/>
      <c r="Q746" s="5" t="n"/>
      <c r="R746" s="6" t="n"/>
      <c r="S746" s="4" t="n"/>
      <c r="T746" s="4" t="n"/>
      <c r="U746" s="3">
        <f>IF(C746="","",IF(T746="",TODAY()-C746,T746-C746))</f>
        <v/>
      </c>
      <c r="V746" s="5" t="n"/>
      <c r="W746" s="6" t="n"/>
      <c r="X746" s="3">
        <f>IF(P746="","",IFERROR(VLOOKUP(P746,Parâmetros!$J$2:$K$5,2,FALSE),""))</f>
        <v/>
      </c>
      <c r="Y746" s="4">
        <f>IF(OR(C746="",X746=""),"",C746+X746)</f>
        <v/>
      </c>
      <c r="Z746" s="5">
        <f>IF(C746="","",IF(Q746="Concluído","Concluído",IF(Y746&lt;TODAY(),"Vencido",IF(Y746-TODAY()&lt;=2,"A vencer","No prazo"))))</f>
        <v/>
      </c>
      <c r="AA746" s="3">
        <f>IF(OR(Y746="",Q746="Concluído"),"",Y746-TODAY())</f>
        <v/>
      </c>
      <c r="AB746" s="5" t="n"/>
      <c r="AC746" s="5" t="n"/>
      <c r="AD746" s="4" t="n"/>
    </row>
    <row r="747">
      <c r="A747" s="3">
        <f>IF(C747="","",ROW()-1)</f>
        <v/>
      </c>
      <c r="B747" s="4" t="n"/>
      <c r="C747" s="4" t="n"/>
      <c r="D747" s="5" t="n"/>
      <c r="E747" s="5" t="n"/>
      <c r="F747" s="5" t="n"/>
      <c r="G747" s="5" t="n"/>
      <c r="H747" s="5" t="n"/>
      <c r="I747" s="5" t="n"/>
      <c r="J747" s="5" t="n"/>
      <c r="K747" s="6" t="n"/>
      <c r="L747" s="6" t="n"/>
      <c r="M747" s="6" t="n"/>
      <c r="N747" s="5" t="n"/>
      <c r="O747" s="21" t="n"/>
      <c r="P747" s="5" t="n"/>
      <c r="Q747" s="5" t="n"/>
      <c r="R747" s="6" t="n"/>
      <c r="S747" s="4" t="n"/>
      <c r="T747" s="4" t="n"/>
      <c r="U747" s="3">
        <f>IF(C747="","",IF(T747="",TODAY()-C747,T747-C747))</f>
        <v/>
      </c>
      <c r="V747" s="5" t="n"/>
      <c r="W747" s="6" t="n"/>
      <c r="X747" s="3">
        <f>IF(P747="","",IFERROR(VLOOKUP(P747,Parâmetros!$J$2:$K$5,2,FALSE),""))</f>
        <v/>
      </c>
      <c r="Y747" s="4">
        <f>IF(OR(C747="",X747=""),"",C747+X747)</f>
        <v/>
      </c>
      <c r="Z747" s="5">
        <f>IF(C747="","",IF(Q747="Concluído","Concluído",IF(Y747&lt;TODAY(),"Vencido",IF(Y747-TODAY()&lt;=2,"A vencer","No prazo"))))</f>
        <v/>
      </c>
      <c r="AA747" s="3">
        <f>IF(OR(Y747="",Q747="Concluído"),"",Y747-TODAY())</f>
        <v/>
      </c>
      <c r="AB747" s="5" t="n"/>
      <c r="AC747" s="5" t="n"/>
      <c r="AD747" s="4" t="n"/>
    </row>
    <row r="748">
      <c r="A748" s="3">
        <f>IF(C748="","",ROW()-1)</f>
        <v/>
      </c>
      <c r="B748" s="4" t="n"/>
      <c r="C748" s="4" t="n"/>
      <c r="D748" s="5" t="n"/>
      <c r="E748" s="5" t="n"/>
      <c r="F748" s="5" t="n"/>
      <c r="G748" s="5" t="n"/>
      <c r="H748" s="5" t="n"/>
      <c r="I748" s="5" t="n"/>
      <c r="J748" s="5" t="n"/>
      <c r="K748" s="6" t="n"/>
      <c r="L748" s="6" t="n"/>
      <c r="M748" s="6" t="n"/>
      <c r="N748" s="5" t="n"/>
      <c r="O748" s="21" t="n"/>
      <c r="P748" s="5" t="n"/>
      <c r="Q748" s="5" t="n"/>
      <c r="R748" s="6" t="n"/>
      <c r="S748" s="4" t="n"/>
      <c r="T748" s="4" t="n"/>
      <c r="U748" s="3">
        <f>IF(C748="","",IF(T748="",TODAY()-C748,T748-C748))</f>
        <v/>
      </c>
      <c r="V748" s="5" t="n"/>
      <c r="W748" s="6" t="n"/>
      <c r="X748" s="3">
        <f>IF(P748="","",IFERROR(VLOOKUP(P748,Parâmetros!$J$2:$K$5,2,FALSE),""))</f>
        <v/>
      </c>
      <c r="Y748" s="4">
        <f>IF(OR(C748="",X748=""),"",C748+X748)</f>
        <v/>
      </c>
      <c r="Z748" s="5">
        <f>IF(C748="","",IF(Q748="Concluído","Concluído",IF(Y748&lt;TODAY(),"Vencido",IF(Y748-TODAY()&lt;=2,"A vencer","No prazo"))))</f>
        <v/>
      </c>
      <c r="AA748" s="3">
        <f>IF(OR(Y748="",Q748="Concluído"),"",Y748-TODAY())</f>
        <v/>
      </c>
      <c r="AB748" s="5" t="n"/>
      <c r="AC748" s="5" t="n"/>
      <c r="AD748" s="4" t="n"/>
    </row>
    <row r="749">
      <c r="A749" s="3">
        <f>IF(C749="","",ROW()-1)</f>
        <v/>
      </c>
      <c r="B749" s="4" t="n"/>
      <c r="C749" s="4" t="n"/>
      <c r="D749" s="5" t="n"/>
      <c r="E749" s="5" t="n"/>
      <c r="F749" s="5" t="n"/>
      <c r="G749" s="5" t="n"/>
      <c r="H749" s="5" t="n"/>
      <c r="I749" s="5" t="n"/>
      <c r="J749" s="5" t="n"/>
      <c r="K749" s="6" t="n"/>
      <c r="L749" s="6" t="n"/>
      <c r="M749" s="6" t="n"/>
      <c r="N749" s="5" t="n"/>
      <c r="O749" s="21" t="n"/>
      <c r="P749" s="5" t="n"/>
      <c r="Q749" s="5" t="n"/>
      <c r="R749" s="6" t="n"/>
      <c r="S749" s="4" t="n"/>
      <c r="T749" s="4" t="n"/>
      <c r="U749" s="3">
        <f>IF(C749="","",IF(T749="",TODAY()-C749,T749-C749))</f>
        <v/>
      </c>
      <c r="V749" s="5" t="n"/>
      <c r="W749" s="6" t="n"/>
      <c r="X749" s="3">
        <f>IF(P749="","",IFERROR(VLOOKUP(P749,Parâmetros!$J$2:$K$5,2,FALSE),""))</f>
        <v/>
      </c>
      <c r="Y749" s="4">
        <f>IF(OR(C749="",X749=""),"",C749+X749)</f>
        <v/>
      </c>
      <c r="Z749" s="5">
        <f>IF(C749="","",IF(Q749="Concluído","Concluído",IF(Y749&lt;TODAY(),"Vencido",IF(Y749-TODAY()&lt;=2,"A vencer","No prazo"))))</f>
        <v/>
      </c>
      <c r="AA749" s="3">
        <f>IF(OR(Y749="",Q749="Concluído"),"",Y749-TODAY())</f>
        <v/>
      </c>
      <c r="AB749" s="5" t="n"/>
      <c r="AC749" s="5" t="n"/>
      <c r="AD749" s="4" t="n"/>
    </row>
    <row r="750">
      <c r="A750" s="3">
        <f>IF(C750="","",ROW()-1)</f>
        <v/>
      </c>
      <c r="B750" s="4" t="n"/>
      <c r="C750" s="4" t="n"/>
      <c r="D750" s="5" t="n"/>
      <c r="E750" s="5" t="n"/>
      <c r="F750" s="5" t="n"/>
      <c r="G750" s="5" t="n"/>
      <c r="H750" s="5" t="n"/>
      <c r="I750" s="5" t="n"/>
      <c r="J750" s="5" t="n"/>
      <c r="K750" s="6" t="n"/>
      <c r="L750" s="6" t="n"/>
      <c r="M750" s="6" t="n"/>
      <c r="N750" s="5" t="n"/>
      <c r="O750" s="21" t="n"/>
      <c r="P750" s="5" t="n"/>
      <c r="Q750" s="5" t="n"/>
      <c r="R750" s="6" t="n"/>
      <c r="S750" s="4" t="n"/>
      <c r="T750" s="4" t="n"/>
      <c r="U750" s="3">
        <f>IF(C750="","",IF(T750="",TODAY()-C750,T750-C750))</f>
        <v/>
      </c>
      <c r="V750" s="5" t="n"/>
      <c r="W750" s="6" t="n"/>
      <c r="X750" s="3">
        <f>IF(P750="","",IFERROR(VLOOKUP(P750,Parâmetros!$J$2:$K$5,2,FALSE),""))</f>
        <v/>
      </c>
      <c r="Y750" s="4">
        <f>IF(OR(C750="",X750=""),"",C750+X750)</f>
        <v/>
      </c>
      <c r="Z750" s="5">
        <f>IF(C750="","",IF(Q750="Concluído","Concluído",IF(Y750&lt;TODAY(),"Vencido",IF(Y750-TODAY()&lt;=2,"A vencer","No prazo"))))</f>
        <v/>
      </c>
      <c r="AA750" s="3">
        <f>IF(OR(Y750="",Q750="Concluído"),"",Y750-TODAY())</f>
        <v/>
      </c>
      <c r="AB750" s="5" t="n"/>
      <c r="AC750" s="5" t="n"/>
      <c r="AD750" s="4" t="n"/>
    </row>
    <row r="751">
      <c r="A751" s="3">
        <f>IF(C751="","",ROW()-1)</f>
        <v/>
      </c>
      <c r="B751" s="4" t="n"/>
      <c r="C751" s="4" t="n"/>
      <c r="D751" s="5" t="n"/>
      <c r="E751" s="5" t="n"/>
      <c r="F751" s="5" t="n"/>
      <c r="G751" s="5" t="n"/>
      <c r="H751" s="5" t="n"/>
      <c r="I751" s="5" t="n"/>
      <c r="J751" s="5" t="n"/>
      <c r="K751" s="6" t="n"/>
      <c r="L751" s="6" t="n"/>
      <c r="M751" s="6" t="n"/>
      <c r="N751" s="5" t="n"/>
      <c r="O751" s="21" t="n"/>
      <c r="P751" s="5" t="n"/>
      <c r="Q751" s="5" t="n"/>
      <c r="R751" s="6" t="n"/>
      <c r="S751" s="4" t="n"/>
      <c r="T751" s="4" t="n"/>
      <c r="U751" s="3">
        <f>IF(C751="","",IF(T751="",TODAY()-C751,T751-C751))</f>
        <v/>
      </c>
      <c r="V751" s="5" t="n"/>
      <c r="W751" s="6" t="n"/>
      <c r="X751" s="3">
        <f>IF(P751="","",IFERROR(VLOOKUP(P751,Parâmetros!$J$2:$K$5,2,FALSE),""))</f>
        <v/>
      </c>
      <c r="Y751" s="4">
        <f>IF(OR(C751="",X751=""),"",C751+X751)</f>
        <v/>
      </c>
      <c r="Z751" s="5">
        <f>IF(C751="","",IF(Q751="Concluído","Concluído",IF(Y751&lt;TODAY(),"Vencido",IF(Y751-TODAY()&lt;=2,"A vencer","No prazo"))))</f>
        <v/>
      </c>
      <c r="AA751" s="3">
        <f>IF(OR(Y751="",Q751="Concluído"),"",Y751-TODAY())</f>
        <v/>
      </c>
      <c r="AB751" s="5" t="n"/>
      <c r="AC751" s="5" t="n"/>
      <c r="AD751" s="4" t="n"/>
    </row>
    <row r="752">
      <c r="A752" s="3">
        <f>IF(C752="","",ROW()-1)</f>
        <v/>
      </c>
      <c r="B752" s="4" t="n"/>
      <c r="C752" s="4" t="n"/>
      <c r="D752" s="5" t="n"/>
      <c r="E752" s="5" t="n"/>
      <c r="F752" s="5" t="n"/>
      <c r="G752" s="5" t="n"/>
      <c r="H752" s="5" t="n"/>
      <c r="I752" s="5" t="n"/>
      <c r="J752" s="5" t="n"/>
      <c r="K752" s="6" t="n"/>
      <c r="L752" s="6" t="n"/>
      <c r="M752" s="6" t="n"/>
      <c r="N752" s="5" t="n"/>
      <c r="O752" s="21" t="n"/>
      <c r="P752" s="5" t="n"/>
      <c r="Q752" s="5" t="n"/>
      <c r="R752" s="6" t="n"/>
      <c r="S752" s="4" t="n"/>
      <c r="T752" s="4" t="n"/>
      <c r="U752" s="3">
        <f>IF(C752="","",IF(T752="",TODAY()-C752,T752-C752))</f>
        <v/>
      </c>
      <c r="V752" s="5" t="n"/>
      <c r="W752" s="6" t="n"/>
      <c r="X752" s="3">
        <f>IF(P752="","",IFERROR(VLOOKUP(P752,Parâmetros!$J$2:$K$5,2,FALSE),""))</f>
        <v/>
      </c>
      <c r="Y752" s="4">
        <f>IF(OR(C752="",X752=""),"",C752+X752)</f>
        <v/>
      </c>
      <c r="Z752" s="5">
        <f>IF(C752="","",IF(Q752="Concluído","Concluído",IF(Y752&lt;TODAY(),"Vencido",IF(Y752-TODAY()&lt;=2,"A vencer","No prazo"))))</f>
        <v/>
      </c>
      <c r="AA752" s="3">
        <f>IF(OR(Y752="",Q752="Concluído"),"",Y752-TODAY())</f>
        <v/>
      </c>
      <c r="AB752" s="5" t="n"/>
      <c r="AC752" s="5" t="n"/>
      <c r="AD752" s="4" t="n"/>
    </row>
    <row r="753">
      <c r="A753" s="3">
        <f>IF(C753="","",ROW()-1)</f>
        <v/>
      </c>
      <c r="B753" s="4" t="n"/>
      <c r="C753" s="4" t="n"/>
      <c r="D753" s="5" t="n"/>
      <c r="E753" s="5" t="n"/>
      <c r="F753" s="5" t="n"/>
      <c r="G753" s="5" t="n"/>
      <c r="H753" s="5" t="n"/>
      <c r="I753" s="5" t="n"/>
      <c r="J753" s="5" t="n"/>
      <c r="K753" s="6" t="n"/>
      <c r="L753" s="6" t="n"/>
      <c r="M753" s="6" t="n"/>
      <c r="N753" s="5" t="n"/>
      <c r="O753" s="21" t="n"/>
      <c r="P753" s="5" t="n"/>
      <c r="Q753" s="5" t="n"/>
      <c r="R753" s="6" t="n"/>
      <c r="S753" s="4" t="n"/>
      <c r="T753" s="4" t="n"/>
      <c r="U753" s="3">
        <f>IF(C753="","",IF(T753="",TODAY()-C753,T753-C753))</f>
        <v/>
      </c>
      <c r="V753" s="5" t="n"/>
      <c r="W753" s="6" t="n"/>
      <c r="X753" s="3">
        <f>IF(P753="","",IFERROR(VLOOKUP(P753,Parâmetros!$J$2:$K$5,2,FALSE),""))</f>
        <v/>
      </c>
      <c r="Y753" s="4">
        <f>IF(OR(C753="",X753=""),"",C753+X753)</f>
        <v/>
      </c>
      <c r="Z753" s="5">
        <f>IF(C753="","",IF(Q753="Concluído","Concluído",IF(Y753&lt;TODAY(),"Vencido",IF(Y753-TODAY()&lt;=2,"A vencer","No prazo"))))</f>
        <v/>
      </c>
      <c r="AA753" s="3">
        <f>IF(OR(Y753="",Q753="Concluído"),"",Y753-TODAY())</f>
        <v/>
      </c>
      <c r="AB753" s="5" t="n"/>
      <c r="AC753" s="5" t="n"/>
      <c r="AD753" s="4" t="n"/>
    </row>
    <row r="754">
      <c r="A754" s="3">
        <f>IF(C754="","",ROW()-1)</f>
        <v/>
      </c>
      <c r="B754" s="4" t="n"/>
      <c r="C754" s="4" t="n"/>
      <c r="D754" s="5" t="n"/>
      <c r="E754" s="5" t="n"/>
      <c r="F754" s="5" t="n"/>
      <c r="G754" s="5" t="n"/>
      <c r="H754" s="5" t="n"/>
      <c r="I754" s="5" t="n"/>
      <c r="J754" s="5" t="n"/>
      <c r="K754" s="6" t="n"/>
      <c r="L754" s="6" t="n"/>
      <c r="M754" s="6" t="n"/>
      <c r="N754" s="5" t="n"/>
      <c r="O754" s="21" t="n"/>
      <c r="P754" s="5" t="n"/>
      <c r="Q754" s="5" t="n"/>
      <c r="R754" s="6" t="n"/>
      <c r="S754" s="4" t="n"/>
      <c r="T754" s="4" t="n"/>
      <c r="U754" s="3">
        <f>IF(C754="","",IF(T754="",TODAY()-C754,T754-C754))</f>
        <v/>
      </c>
      <c r="V754" s="5" t="n"/>
      <c r="W754" s="6" t="n"/>
      <c r="X754" s="3">
        <f>IF(P754="","",IFERROR(VLOOKUP(P754,Parâmetros!$J$2:$K$5,2,FALSE),""))</f>
        <v/>
      </c>
      <c r="Y754" s="4">
        <f>IF(OR(C754="",X754=""),"",C754+X754)</f>
        <v/>
      </c>
      <c r="Z754" s="5">
        <f>IF(C754="","",IF(Q754="Concluído","Concluído",IF(Y754&lt;TODAY(),"Vencido",IF(Y754-TODAY()&lt;=2,"A vencer","No prazo"))))</f>
        <v/>
      </c>
      <c r="AA754" s="3">
        <f>IF(OR(Y754="",Q754="Concluído"),"",Y754-TODAY())</f>
        <v/>
      </c>
      <c r="AB754" s="5" t="n"/>
      <c r="AC754" s="5" t="n"/>
      <c r="AD754" s="4" t="n"/>
    </row>
    <row r="755">
      <c r="A755" s="3">
        <f>IF(C755="","",ROW()-1)</f>
        <v/>
      </c>
      <c r="B755" s="4" t="n"/>
      <c r="C755" s="4" t="n"/>
      <c r="D755" s="5" t="n"/>
      <c r="E755" s="5" t="n"/>
      <c r="F755" s="5" t="n"/>
      <c r="G755" s="5" t="n"/>
      <c r="H755" s="5" t="n"/>
      <c r="I755" s="5" t="n"/>
      <c r="J755" s="5" t="n"/>
      <c r="K755" s="6" t="n"/>
      <c r="L755" s="6" t="n"/>
      <c r="M755" s="6" t="n"/>
      <c r="N755" s="5" t="n"/>
      <c r="O755" s="21" t="n"/>
      <c r="P755" s="5" t="n"/>
      <c r="Q755" s="5" t="n"/>
      <c r="R755" s="6" t="n"/>
      <c r="S755" s="4" t="n"/>
      <c r="T755" s="4" t="n"/>
      <c r="U755" s="3">
        <f>IF(C755="","",IF(T755="",TODAY()-C755,T755-C755))</f>
        <v/>
      </c>
      <c r="V755" s="5" t="n"/>
      <c r="W755" s="6" t="n"/>
      <c r="X755" s="3">
        <f>IF(P755="","",IFERROR(VLOOKUP(P755,Parâmetros!$J$2:$K$5,2,FALSE),""))</f>
        <v/>
      </c>
      <c r="Y755" s="4">
        <f>IF(OR(C755="",X755=""),"",C755+X755)</f>
        <v/>
      </c>
      <c r="Z755" s="5">
        <f>IF(C755="","",IF(Q755="Concluído","Concluído",IF(Y755&lt;TODAY(),"Vencido",IF(Y755-TODAY()&lt;=2,"A vencer","No prazo"))))</f>
        <v/>
      </c>
      <c r="AA755" s="3">
        <f>IF(OR(Y755="",Q755="Concluído"),"",Y755-TODAY())</f>
        <v/>
      </c>
      <c r="AB755" s="5" t="n"/>
      <c r="AC755" s="5" t="n"/>
      <c r="AD755" s="4" t="n"/>
    </row>
    <row r="756">
      <c r="A756" s="3">
        <f>IF(C756="","",ROW()-1)</f>
        <v/>
      </c>
      <c r="B756" s="4" t="n"/>
      <c r="C756" s="4" t="n"/>
      <c r="D756" s="5" t="n"/>
      <c r="E756" s="5" t="n"/>
      <c r="F756" s="5" t="n"/>
      <c r="G756" s="5" t="n"/>
      <c r="H756" s="5" t="n"/>
      <c r="I756" s="5" t="n"/>
      <c r="J756" s="5" t="n"/>
      <c r="K756" s="6" t="n"/>
      <c r="L756" s="6" t="n"/>
      <c r="M756" s="6" t="n"/>
      <c r="N756" s="5" t="n"/>
      <c r="O756" s="21" t="n"/>
      <c r="P756" s="5" t="n"/>
      <c r="Q756" s="5" t="n"/>
      <c r="R756" s="6" t="n"/>
      <c r="S756" s="4" t="n"/>
      <c r="T756" s="4" t="n"/>
      <c r="U756" s="3">
        <f>IF(C756="","",IF(T756="",TODAY()-C756,T756-C756))</f>
        <v/>
      </c>
      <c r="V756" s="5" t="n"/>
      <c r="W756" s="6" t="n"/>
      <c r="X756" s="3">
        <f>IF(P756="","",IFERROR(VLOOKUP(P756,Parâmetros!$J$2:$K$5,2,FALSE),""))</f>
        <v/>
      </c>
      <c r="Y756" s="4">
        <f>IF(OR(C756="",X756=""),"",C756+X756)</f>
        <v/>
      </c>
      <c r="Z756" s="5">
        <f>IF(C756="","",IF(Q756="Concluído","Concluído",IF(Y756&lt;TODAY(),"Vencido",IF(Y756-TODAY()&lt;=2,"A vencer","No prazo"))))</f>
        <v/>
      </c>
      <c r="AA756" s="3">
        <f>IF(OR(Y756="",Q756="Concluído"),"",Y756-TODAY())</f>
        <v/>
      </c>
      <c r="AB756" s="5" t="n"/>
      <c r="AC756" s="5" t="n"/>
      <c r="AD756" s="4" t="n"/>
    </row>
    <row r="757">
      <c r="A757" s="3">
        <f>IF(C757="","",ROW()-1)</f>
        <v/>
      </c>
      <c r="B757" s="4" t="n"/>
      <c r="C757" s="4" t="n"/>
      <c r="D757" s="5" t="n"/>
      <c r="E757" s="5" t="n"/>
      <c r="F757" s="5" t="n"/>
      <c r="G757" s="5" t="n"/>
      <c r="H757" s="5" t="n"/>
      <c r="I757" s="5" t="n"/>
      <c r="J757" s="5" t="n"/>
      <c r="K757" s="6" t="n"/>
      <c r="L757" s="6" t="n"/>
      <c r="M757" s="6" t="n"/>
      <c r="N757" s="5" t="n"/>
      <c r="O757" s="21" t="n"/>
      <c r="P757" s="5" t="n"/>
      <c r="Q757" s="5" t="n"/>
      <c r="R757" s="6" t="n"/>
      <c r="S757" s="4" t="n"/>
      <c r="T757" s="4" t="n"/>
      <c r="U757" s="3">
        <f>IF(C757="","",IF(T757="",TODAY()-C757,T757-C757))</f>
        <v/>
      </c>
      <c r="V757" s="5" t="n"/>
      <c r="W757" s="6" t="n"/>
      <c r="X757" s="3">
        <f>IF(P757="","",IFERROR(VLOOKUP(P757,Parâmetros!$J$2:$K$5,2,FALSE),""))</f>
        <v/>
      </c>
      <c r="Y757" s="4">
        <f>IF(OR(C757="",X757=""),"",C757+X757)</f>
        <v/>
      </c>
      <c r="Z757" s="5">
        <f>IF(C757="","",IF(Q757="Concluído","Concluído",IF(Y757&lt;TODAY(),"Vencido",IF(Y757-TODAY()&lt;=2,"A vencer","No prazo"))))</f>
        <v/>
      </c>
      <c r="AA757" s="3">
        <f>IF(OR(Y757="",Q757="Concluído"),"",Y757-TODAY())</f>
        <v/>
      </c>
      <c r="AB757" s="5" t="n"/>
      <c r="AC757" s="5" t="n"/>
      <c r="AD757" s="4" t="n"/>
    </row>
    <row r="758">
      <c r="A758" s="3">
        <f>IF(C758="","",ROW()-1)</f>
        <v/>
      </c>
      <c r="B758" s="4" t="n"/>
      <c r="C758" s="4" t="n"/>
      <c r="D758" s="5" t="n"/>
      <c r="E758" s="5" t="n"/>
      <c r="F758" s="5" t="n"/>
      <c r="G758" s="5" t="n"/>
      <c r="H758" s="5" t="n"/>
      <c r="I758" s="5" t="n"/>
      <c r="J758" s="5" t="n"/>
      <c r="K758" s="6" t="n"/>
      <c r="L758" s="6" t="n"/>
      <c r="M758" s="6" t="n"/>
      <c r="N758" s="5" t="n"/>
      <c r="O758" s="21" t="n"/>
      <c r="P758" s="5" t="n"/>
      <c r="Q758" s="5" t="n"/>
      <c r="R758" s="6" t="n"/>
      <c r="S758" s="4" t="n"/>
      <c r="T758" s="4" t="n"/>
      <c r="U758" s="3">
        <f>IF(C758="","",IF(T758="",TODAY()-C758,T758-C758))</f>
        <v/>
      </c>
      <c r="V758" s="5" t="n"/>
      <c r="W758" s="6" t="n"/>
      <c r="X758" s="3">
        <f>IF(P758="","",IFERROR(VLOOKUP(P758,Parâmetros!$J$2:$K$5,2,FALSE),""))</f>
        <v/>
      </c>
      <c r="Y758" s="4">
        <f>IF(OR(C758="",X758=""),"",C758+X758)</f>
        <v/>
      </c>
      <c r="Z758" s="5">
        <f>IF(C758="","",IF(Q758="Concluído","Concluído",IF(Y758&lt;TODAY(),"Vencido",IF(Y758-TODAY()&lt;=2,"A vencer","No prazo"))))</f>
        <v/>
      </c>
      <c r="AA758" s="3">
        <f>IF(OR(Y758="",Q758="Concluído"),"",Y758-TODAY())</f>
        <v/>
      </c>
      <c r="AB758" s="5" t="n"/>
      <c r="AC758" s="5" t="n"/>
      <c r="AD758" s="4" t="n"/>
    </row>
    <row r="759">
      <c r="A759" s="3">
        <f>IF(C759="","",ROW()-1)</f>
        <v/>
      </c>
      <c r="B759" s="4" t="n"/>
      <c r="C759" s="4" t="n"/>
      <c r="D759" s="5" t="n"/>
      <c r="E759" s="5" t="n"/>
      <c r="F759" s="5" t="n"/>
      <c r="G759" s="5" t="n"/>
      <c r="H759" s="5" t="n"/>
      <c r="I759" s="5" t="n"/>
      <c r="J759" s="5" t="n"/>
      <c r="K759" s="6" t="n"/>
      <c r="L759" s="6" t="n"/>
      <c r="M759" s="6" t="n"/>
      <c r="N759" s="5" t="n"/>
      <c r="O759" s="21" t="n"/>
      <c r="P759" s="5" t="n"/>
      <c r="Q759" s="5" t="n"/>
      <c r="R759" s="6" t="n"/>
      <c r="S759" s="4" t="n"/>
      <c r="T759" s="4" t="n"/>
      <c r="U759" s="3">
        <f>IF(C759="","",IF(T759="",TODAY()-C759,T759-C759))</f>
        <v/>
      </c>
      <c r="V759" s="5" t="n"/>
      <c r="W759" s="6" t="n"/>
      <c r="X759" s="3">
        <f>IF(P759="","",IFERROR(VLOOKUP(P759,Parâmetros!$J$2:$K$5,2,FALSE),""))</f>
        <v/>
      </c>
      <c r="Y759" s="4">
        <f>IF(OR(C759="",X759=""),"",C759+X759)</f>
        <v/>
      </c>
      <c r="Z759" s="5">
        <f>IF(C759="","",IF(Q759="Concluído","Concluído",IF(Y759&lt;TODAY(),"Vencido",IF(Y759-TODAY()&lt;=2,"A vencer","No prazo"))))</f>
        <v/>
      </c>
      <c r="AA759" s="3">
        <f>IF(OR(Y759="",Q759="Concluído"),"",Y759-TODAY())</f>
        <v/>
      </c>
      <c r="AB759" s="5" t="n"/>
      <c r="AC759" s="5" t="n"/>
      <c r="AD759" s="4" t="n"/>
    </row>
    <row r="760">
      <c r="A760" s="3">
        <f>IF(C760="","",ROW()-1)</f>
        <v/>
      </c>
      <c r="B760" s="4" t="n"/>
      <c r="C760" s="4" t="n"/>
      <c r="D760" s="5" t="n"/>
      <c r="E760" s="5" t="n"/>
      <c r="F760" s="5" t="n"/>
      <c r="G760" s="5" t="n"/>
      <c r="H760" s="5" t="n"/>
      <c r="I760" s="5" t="n"/>
      <c r="J760" s="5" t="n"/>
      <c r="K760" s="6" t="n"/>
      <c r="L760" s="6" t="n"/>
      <c r="M760" s="6" t="n"/>
      <c r="N760" s="5" t="n"/>
      <c r="O760" s="21" t="n"/>
      <c r="P760" s="5" t="n"/>
      <c r="Q760" s="5" t="n"/>
      <c r="R760" s="6" t="n"/>
      <c r="S760" s="4" t="n"/>
      <c r="T760" s="4" t="n"/>
      <c r="U760" s="3">
        <f>IF(C760="","",IF(T760="",TODAY()-C760,T760-C760))</f>
        <v/>
      </c>
      <c r="V760" s="5" t="n"/>
      <c r="W760" s="6" t="n"/>
      <c r="X760" s="3">
        <f>IF(P760="","",IFERROR(VLOOKUP(P760,Parâmetros!$J$2:$K$5,2,FALSE),""))</f>
        <v/>
      </c>
      <c r="Y760" s="4">
        <f>IF(OR(C760="",X760=""),"",C760+X760)</f>
        <v/>
      </c>
      <c r="Z760" s="5">
        <f>IF(C760="","",IF(Q760="Concluído","Concluído",IF(Y760&lt;TODAY(),"Vencido",IF(Y760-TODAY()&lt;=2,"A vencer","No prazo"))))</f>
        <v/>
      </c>
      <c r="AA760" s="3">
        <f>IF(OR(Y760="",Q760="Concluído"),"",Y760-TODAY())</f>
        <v/>
      </c>
      <c r="AB760" s="5" t="n"/>
      <c r="AC760" s="5" t="n"/>
      <c r="AD760" s="4" t="n"/>
    </row>
    <row r="761">
      <c r="A761" s="3">
        <f>IF(C761="","",ROW()-1)</f>
        <v/>
      </c>
      <c r="B761" s="4" t="n"/>
      <c r="C761" s="4" t="n"/>
      <c r="D761" s="5" t="n"/>
      <c r="E761" s="5" t="n"/>
      <c r="F761" s="5" t="n"/>
      <c r="G761" s="5" t="n"/>
      <c r="H761" s="5" t="n"/>
      <c r="I761" s="5" t="n"/>
      <c r="J761" s="5" t="n"/>
      <c r="K761" s="6" t="n"/>
      <c r="L761" s="6" t="n"/>
      <c r="M761" s="6" t="n"/>
      <c r="N761" s="5" t="n"/>
      <c r="O761" s="21" t="n"/>
      <c r="P761" s="5" t="n"/>
      <c r="Q761" s="5" t="n"/>
      <c r="R761" s="6" t="n"/>
      <c r="S761" s="4" t="n"/>
      <c r="T761" s="4" t="n"/>
      <c r="U761" s="3">
        <f>IF(C761="","",IF(T761="",TODAY()-C761,T761-C761))</f>
        <v/>
      </c>
      <c r="V761" s="5" t="n"/>
      <c r="W761" s="6" t="n"/>
      <c r="X761" s="3">
        <f>IF(P761="","",IFERROR(VLOOKUP(P761,Parâmetros!$J$2:$K$5,2,FALSE),""))</f>
        <v/>
      </c>
      <c r="Y761" s="4">
        <f>IF(OR(C761="",X761=""),"",C761+X761)</f>
        <v/>
      </c>
      <c r="Z761" s="5">
        <f>IF(C761="","",IF(Q761="Concluído","Concluído",IF(Y761&lt;TODAY(),"Vencido",IF(Y761-TODAY()&lt;=2,"A vencer","No prazo"))))</f>
        <v/>
      </c>
      <c r="AA761" s="3">
        <f>IF(OR(Y761="",Q761="Concluído"),"",Y761-TODAY())</f>
        <v/>
      </c>
      <c r="AB761" s="5" t="n"/>
      <c r="AC761" s="5" t="n"/>
      <c r="AD761" s="4" t="n"/>
    </row>
    <row r="762">
      <c r="A762" s="3">
        <f>IF(C762="","",ROW()-1)</f>
        <v/>
      </c>
      <c r="B762" s="4" t="n"/>
      <c r="C762" s="4" t="n"/>
      <c r="D762" s="5" t="n"/>
      <c r="E762" s="5" t="n"/>
      <c r="F762" s="5" t="n"/>
      <c r="G762" s="5" t="n"/>
      <c r="H762" s="5" t="n"/>
      <c r="I762" s="5" t="n"/>
      <c r="J762" s="5" t="n"/>
      <c r="K762" s="6" t="n"/>
      <c r="L762" s="6" t="n"/>
      <c r="M762" s="6" t="n"/>
      <c r="N762" s="5" t="n"/>
      <c r="O762" s="21" t="n"/>
      <c r="P762" s="5" t="n"/>
      <c r="Q762" s="5" t="n"/>
      <c r="R762" s="6" t="n"/>
      <c r="S762" s="4" t="n"/>
      <c r="T762" s="4" t="n"/>
      <c r="U762" s="3">
        <f>IF(C762="","",IF(T762="",TODAY()-C762,T762-C762))</f>
        <v/>
      </c>
      <c r="V762" s="5" t="n"/>
      <c r="W762" s="6" t="n"/>
      <c r="X762" s="3">
        <f>IF(P762="","",IFERROR(VLOOKUP(P762,Parâmetros!$J$2:$K$5,2,FALSE),""))</f>
        <v/>
      </c>
      <c r="Y762" s="4">
        <f>IF(OR(C762="",X762=""),"",C762+X762)</f>
        <v/>
      </c>
      <c r="Z762" s="5">
        <f>IF(C762="","",IF(Q762="Concluído","Concluído",IF(Y762&lt;TODAY(),"Vencido",IF(Y762-TODAY()&lt;=2,"A vencer","No prazo"))))</f>
        <v/>
      </c>
      <c r="AA762" s="3">
        <f>IF(OR(Y762="",Q762="Concluído"),"",Y762-TODAY())</f>
        <v/>
      </c>
      <c r="AB762" s="5" t="n"/>
      <c r="AC762" s="5" t="n"/>
      <c r="AD762" s="4" t="n"/>
    </row>
    <row r="763">
      <c r="A763" s="3">
        <f>IF(C763="","",ROW()-1)</f>
        <v/>
      </c>
      <c r="B763" s="4" t="n"/>
      <c r="C763" s="4" t="n"/>
      <c r="D763" s="5" t="n"/>
      <c r="E763" s="5" t="n"/>
      <c r="F763" s="5" t="n"/>
      <c r="G763" s="5" t="n"/>
      <c r="H763" s="5" t="n"/>
      <c r="I763" s="5" t="n"/>
      <c r="J763" s="5" t="n"/>
      <c r="K763" s="6" t="n"/>
      <c r="L763" s="6" t="n"/>
      <c r="M763" s="6" t="n"/>
      <c r="N763" s="5" t="n"/>
      <c r="O763" s="21" t="n"/>
      <c r="P763" s="5" t="n"/>
      <c r="Q763" s="5" t="n"/>
      <c r="R763" s="6" t="n"/>
      <c r="S763" s="4" t="n"/>
      <c r="T763" s="4" t="n"/>
      <c r="U763" s="3">
        <f>IF(C763="","",IF(T763="",TODAY()-C763,T763-C763))</f>
        <v/>
      </c>
      <c r="V763" s="5" t="n"/>
      <c r="W763" s="6" t="n"/>
      <c r="X763" s="3">
        <f>IF(P763="","",IFERROR(VLOOKUP(P763,Parâmetros!$J$2:$K$5,2,FALSE),""))</f>
        <v/>
      </c>
      <c r="Y763" s="4">
        <f>IF(OR(C763="",X763=""),"",C763+X763)</f>
        <v/>
      </c>
      <c r="Z763" s="5">
        <f>IF(C763="","",IF(Q763="Concluído","Concluído",IF(Y763&lt;TODAY(),"Vencido",IF(Y763-TODAY()&lt;=2,"A vencer","No prazo"))))</f>
        <v/>
      </c>
      <c r="AA763" s="3">
        <f>IF(OR(Y763="",Q763="Concluído"),"",Y763-TODAY())</f>
        <v/>
      </c>
      <c r="AB763" s="5" t="n"/>
      <c r="AC763" s="5" t="n"/>
      <c r="AD763" s="4" t="n"/>
    </row>
    <row r="764">
      <c r="A764" s="3">
        <f>IF(C764="","",ROW()-1)</f>
        <v/>
      </c>
      <c r="B764" s="4" t="n"/>
      <c r="C764" s="4" t="n"/>
      <c r="D764" s="5" t="n"/>
      <c r="E764" s="5" t="n"/>
      <c r="F764" s="5" t="n"/>
      <c r="G764" s="5" t="n"/>
      <c r="H764" s="5" t="n"/>
      <c r="I764" s="5" t="n"/>
      <c r="J764" s="5" t="n"/>
      <c r="K764" s="6" t="n"/>
      <c r="L764" s="6" t="n"/>
      <c r="M764" s="6" t="n"/>
      <c r="N764" s="5" t="n"/>
      <c r="O764" s="21" t="n"/>
      <c r="P764" s="5" t="n"/>
      <c r="Q764" s="5" t="n"/>
      <c r="R764" s="6" t="n"/>
      <c r="S764" s="4" t="n"/>
      <c r="T764" s="4" t="n"/>
      <c r="U764" s="3">
        <f>IF(C764="","",IF(T764="",TODAY()-C764,T764-C764))</f>
        <v/>
      </c>
      <c r="V764" s="5" t="n"/>
      <c r="W764" s="6" t="n"/>
      <c r="X764" s="3">
        <f>IF(P764="","",IFERROR(VLOOKUP(P764,Parâmetros!$J$2:$K$5,2,FALSE),""))</f>
        <v/>
      </c>
      <c r="Y764" s="4">
        <f>IF(OR(C764="",X764=""),"",C764+X764)</f>
        <v/>
      </c>
      <c r="Z764" s="5">
        <f>IF(C764="","",IF(Q764="Concluído","Concluído",IF(Y764&lt;TODAY(),"Vencido",IF(Y764-TODAY()&lt;=2,"A vencer","No prazo"))))</f>
        <v/>
      </c>
      <c r="AA764" s="3">
        <f>IF(OR(Y764="",Q764="Concluído"),"",Y764-TODAY())</f>
        <v/>
      </c>
      <c r="AB764" s="5" t="n"/>
      <c r="AC764" s="5" t="n"/>
      <c r="AD764" s="4" t="n"/>
    </row>
    <row r="765">
      <c r="A765" s="3">
        <f>IF(C765="","",ROW()-1)</f>
        <v/>
      </c>
      <c r="B765" s="4" t="n"/>
      <c r="C765" s="4" t="n"/>
      <c r="D765" s="5" t="n"/>
      <c r="E765" s="5" t="n"/>
      <c r="F765" s="5" t="n"/>
      <c r="G765" s="5" t="n"/>
      <c r="H765" s="5" t="n"/>
      <c r="I765" s="5" t="n"/>
      <c r="J765" s="5" t="n"/>
      <c r="K765" s="6" t="n"/>
      <c r="L765" s="6" t="n"/>
      <c r="M765" s="6" t="n"/>
      <c r="N765" s="5" t="n"/>
      <c r="O765" s="21" t="n"/>
      <c r="P765" s="5" t="n"/>
      <c r="Q765" s="5" t="n"/>
      <c r="R765" s="6" t="n"/>
      <c r="S765" s="4" t="n"/>
      <c r="T765" s="4" t="n"/>
      <c r="U765" s="3">
        <f>IF(C765="","",IF(T765="",TODAY()-C765,T765-C765))</f>
        <v/>
      </c>
      <c r="V765" s="5" t="n"/>
      <c r="W765" s="6" t="n"/>
      <c r="X765" s="3">
        <f>IF(P765="","",IFERROR(VLOOKUP(P765,Parâmetros!$J$2:$K$5,2,FALSE),""))</f>
        <v/>
      </c>
      <c r="Y765" s="4">
        <f>IF(OR(C765="",X765=""),"",C765+X765)</f>
        <v/>
      </c>
      <c r="Z765" s="5">
        <f>IF(C765="","",IF(Q765="Concluído","Concluído",IF(Y765&lt;TODAY(),"Vencido",IF(Y765-TODAY()&lt;=2,"A vencer","No prazo"))))</f>
        <v/>
      </c>
      <c r="AA765" s="3">
        <f>IF(OR(Y765="",Q765="Concluído"),"",Y765-TODAY())</f>
        <v/>
      </c>
      <c r="AB765" s="5" t="n"/>
      <c r="AC765" s="5" t="n"/>
      <c r="AD765" s="4" t="n"/>
    </row>
    <row r="766">
      <c r="A766" s="3">
        <f>IF(C766="","",ROW()-1)</f>
        <v/>
      </c>
      <c r="B766" s="4" t="n"/>
      <c r="C766" s="4" t="n"/>
      <c r="D766" s="5" t="n"/>
      <c r="E766" s="5" t="n"/>
      <c r="F766" s="5" t="n"/>
      <c r="G766" s="5" t="n"/>
      <c r="H766" s="5" t="n"/>
      <c r="I766" s="5" t="n"/>
      <c r="J766" s="5" t="n"/>
      <c r="K766" s="6" t="n"/>
      <c r="L766" s="6" t="n"/>
      <c r="M766" s="6" t="n"/>
      <c r="N766" s="5" t="n"/>
      <c r="O766" s="21" t="n"/>
      <c r="P766" s="5" t="n"/>
      <c r="Q766" s="5" t="n"/>
      <c r="R766" s="6" t="n"/>
      <c r="S766" s="4" t="n"/>
      <c r="T766" s="4" t="n"/>
      <c r="U766" s="3">
        <f>IF(C766="","",IF(T766="",TODAY()-C766,T766-C766))</f>
        <v/>
      </c>
      <c r="V766" s="5" t="n"/>
      <c r="W766" s="6" t="n"/>
      <c r="X766" s="3">
        <f>IF(P766="","",IFERROR(VLOOKUP(P766,Parâmetros!$J$2:$K$5,2,FALSE),""))</f>
        <v/>
      </c>
      <c r="Y766" s="4">
        <f>IF(OR(C766="",X766=""),"",C766+X766)</f>
        <v/>
      </c>
      <c r="Z766" s="5">
        <f>IF(C766="","",IF(Q766="Concluído","Concluído",IF(Y766&lt;TODAY(),"Vencido",IF(Y766-TODAY()&lt;=2,"A vencer","No prazo"))))</f>
        <v/>
      </c>
      <c r="AA766" s="3">
        <f>IF(OR(Y766="",Q766="Concluído"),"",Y766-TODAY())</f>
        <v/>
      </c>
      <c r="AB766" s="5" t="n"/>
      <c r="AC766" s="5" t="n"/>
      <c r="AD766" s="4" t="n"/>
    </row>
    <row r="767">
      <c r="A767" s="3">
        <f>IF(C767="","",ROW()-1)</f>
        <v/>
      </c>
      <c r="B767" s="4" t="n"/>
      <c r="C767" s="4" t="n"/>
      <c r="D767" s="5" t="n"/>
      <c r="E767" s="5" t="n"/>
      <c r="F767" s="5" t="n"/>
      <c r="G767" s="5" t="n"/>
      <c r="H767" s="5" t="n"/>
      <c r="I767" s="5" t="n"/>
      <c r="J767" s="5" t="n"/>
      <c r="K767" s="6" t="n"/>
      <c r="L767" s="6" t="n"/>
      <c r="M767" s="6" t="n"/>
      <c r="N767" s="5" t="n"/>
      <c r="O767" s="21" t="n"/>
      <c r="P767" s="5" t="n"/>
      <c r="Q767" s="5" t="n"/>
      <c r="R767" s="6" t="n"/>
      <c r="S767" s="4" t="n"/>
      <c r="T767" s="4" t="n"/>
      <c r="U767" s="3">
        <f>IF(C767="","",IF(T767="",TODAY()-C767,T767-C767))</f>
        <v/>
      </c>
      <c r="V767" s="5" t="n"/>
      <c r="W767" s="6" t="n"/>
      <c r="X767" s="3">
        <f>IF(P767="","",IFERROR(VLOOKUP(P767,Parâmetros!$J$2:$K$5,2,FALSE),""))</f>
        <v/>
      </c>
      <c r="Y767" s="4">
        <f>IF(OR(C767="",X767=""),"",C767+X767)</f>
        <v/>
      </c>
      <c r="Z767" s="5">
        <f>IF(C767="","",IF(Q767="Concluído","Concluído",IF(Y767&lt;TODAY(),"Vencido",IF(Y767-TODAY()&lt;=2,"A vencer","No prazo"))))</f>
        <v/>
      </c>
      <c r="AA767" s="3">
        <f>IF(OR(Y767="",Q767="Concluído"),"",Y767-TODAY())</f>
        <v/>
      </c>
      <c r="AB767" s="5" t="n"/>
      <c r="AC767" s="5" t="n"/>
      <c r="AD767" s="4" t="n"/>
    </row>
    <row r="768">
      <c r="A768" s="3">
        <f>IF(C768="","",ROW()-1)</f>
        <v/>
      </c>
      <c r="B768" s="4" t="n"/>
      <c r="C768" s="4" t="n"/>
      <c r="D768" s="5" t="n"/>
      <c r="E768" s="5" t="n"/>
      <c r="F768" s="5" t="n"/>
      <c r="G768" s="5" t="n"/>
      <c r="H768" s="5" t="n"/>
      <c r="I768" s="5" t="n"/>
      <c r="J768" s="5" t="n"/>
      <c r="K768" s="6" t="n"/>
      <c r="L768" s="6" t="n"/>
      <c r="M768" s="6" t="n"/>
      <c r="N768" s="5" t="n"/>
      <c r="O768" s="21" t="n"/>
      <c r="P768" s="5" t="n"/>
      <c r="Q768" s="5" t="n"/>
      <c r="R768" s="6" t="n"/>
      <c r="S768" s="4" t="n"/>
      <c r="T768" s="4" t="n"/>
      <c r="U768" s="3">
        <f>IF(C768="","",IF(T768="",TODAY()-C768,T768-C768))</f>
        <v/>
      </c>
      <c r="V768" s="5" t="n"/>
      <c r="W768" s="6" t="n"/>
      <c r="X768" s="3">
        <f>IF(P768="","",IFERROR(VLOOKUP(P768,Parâmetros!$J$2:$K$5,2,FALSE),""))</f>
        <v/>
      </c>
      <c r="Y768" s="4">
        <f>IF(OR(C768="",X768=""),"",C768+X768)</f>
        <v/>
      </c>
      <c r="Z768" s="5">
        <f>IF(C768="","",IF(Q768="Concluído","Concluído",IF(Y768&lt;TODAY(),"Vencido",IF(Y768-TODAY()&lt;=2,"A vencer","No prazo"))))</f>
        <v/>
      </c>
      <c r="AA768" s="3">
        <f>IF(OR(Y768="",Q768="Concluído"),"",Y768-TODAY())</f>
        <v/>
      </c>
      <c r="AB768" s="5" t="n"/>
      <c r="AC768" s="5" t="n"/>
      <c r="AD768" s="4" t="n"/>
    </row>
    <row r="769">
      <c r="A769" s="3">
        <f>IF(C769="","",ROW()-1)</f>
        <v/>
      </c>
      <c r="B769" s="4" t="n"/>
      <c r="C769" s="4" t="n"/>
      <c r="D769" s="5" t="n"/>
      <c r="E769" s="5" t="n"/>
      <c r="F769" s="5" t="n"/>
      <c r="G769" s="5" t="n"/>
      <c r="H769" s="5" t="n"/>
      <c r="I769" s="5" t="n"/>
      <c r="J769" s="5" t="n"/>
      <c r="K769" s="6" t="n"/>
      <c r="L769" s="6" t="n"/>
      <c r="M769" s="6" t="n"/>
      <c r="N769" s="5" t="n"/>
      <c r="O769" s="21" t="n"/>
      <c r="P769" s="5" t="n"/>
      <c r="Q769" s="5" t="n"/>
      <c r="R769" s="6" t="n"/>
      <c r="S769" s="4" t="n"/>
      <c r="T769" s="4" t="n"/>
      <c r="U769" s="3">
        <f>IF(C769="","",IF(T769="",TODAY()-C769,T769-C769))</f>
        <v/>
      </c>
      <c r="V769" s="5" t="n"/>
      <c r="W769" s="6" t="n"/>
      <c r="X769" s="3">
        <f>IF(P769="","",IFERROR(VLOOKUP(P769,Parâmetros!$J$2:$K$5,2,FALSE),""))</f>
        <v/>
      </c>
      <c r="Y769" s="4">
        <f>IF(OR(C769="",X769=""),"",C769+X769)</f>
        <v/>
      </c>
      <c r="Z769" s="5">
        <f>IF(C769="","",IF(Q769="Concluído","Concluído",IF(Y769&lt;TODAY(),"Vencido",IF(Y769-TODAY()&lt;=2,"A vencer","No prazo"))))</f>
        <v/>
      </c>
      <c r="AA769" s="3">
        <f>IF(OR(Y769="",Q769="Concluído"),"",Y769-TODAY())</f>
        <v/>
      </c>
      <c r="AB769" s="5" t="n"/>
      <c r="AC769" s="5" t="n"/>
      <c r="AD769" s="4" t="n"/>
    </row>
    <row r="770">
      <c r="A770" s="3">
        <f>IF(C770="","",ROW()-1)</f>
        <v/>
      </c>
      <c r="B770" s="4" t="n"/>
      <c r="C770" s="4" t="n"/>
      <c r="D770" s="5" t="n"/>
      <c r="E770" s="5" t="n"/>
      <c r="F770" s="5" t="n"/>
      <c r="G770" s="5" t="n"/>
      <c r="H770" s="5" t="n"/>
      <c r="I770" s="5" t="n"/>
      <c r="J770" s="5" t="n"/>
      <c r="K770" s="6" t="n"/>
      <c r="L770" s="6" t="n"/>
      <c r="M770" s="6" t="n"/>
      <c r="N770" s="5" t="n"/>
      <c r="O770" s="21" t="n"/>
      <c r="P770" s="5" t="n"/>
      <c r="Q770" s="5" t="n"/>
      <c r="R770" s="6" t="n"/>
      <c r="S770" s="4" t="n"/>
      <c r="T770" s="4" t="n"/>
      <c r="U770" s="3">
        <f>IF(C770="","",IF(T770="",TODAY()-C770,T770-C770))</f>
        <v/>
      </c>
      <c r="V770" s="5" t="n"/>
      <c r="W770" s="6" t="n"/>
      <c r="X770" s="3">
        <f>IF(P770="","",IFERROR(VLOOKUP(P770,Parâmetros!$J$2:$K$5,2,FALSE),""))</f>
        <v/>
      </c>
      <c r="Y770" s="4">
        <f>IF(OR(C770="",X770=""),"",C770+X770)</f>
        <v/>
      </c>
      <c r="Z770" s="5">
        <f>IF(C770="","",IF(Q770="Concluído","Concluído",IF(Y770&lt;TODAY(),"Vencido",IF(Y770-TODAY()&lt;=2,"A vencer","No prazo"))))</f>
        <v/>
      </c>
      <c r="AA770" s="3">
        <f>IF(OR(Y770="",Q770="Concluído"),"",Y770-TODAY())</f>
        <v/>
      </c>
      <c r="AB770" s="5" t="n"/>
      <c r="AC770" s="5" t="n"/>
      <c r="AD770" s="4" t="n"/>
    </row>
    <row r="771">
      <c r="A771" s="3">
        <f>IF(C771="","",ROW()-1)</f>
        <v/>
      </c>
      <c r="B771" s="4" t="n"/>
      <c r="C771" s="4" t="n"/>
      <c r="D771" s="5" t="n"/>
      <c r="E771" s="5" t="n"/>
      <c r="F771" s="5" t="n"/>
      <c r="G771" s="5" t="n"/>
      <c r="H771" s="5" t="n"/>
      <c r="I771" s="5" t="n"/>
      <c r="J771" s="5" t="n"/>
      <c r="K771" s="6" t="n"/>
      <c r="L771" s="6" t="n"/>
      <c r="M771" s="6" t="n"/>
      <c r="N771" s="5" t="n"/>
      <c r="O771" s="21" t="n"/>
      <c r="P771" s="5" t="n"/>
      <c r="Q771" s="5" t="n"/>
      <c r="R771" s="6" t="n"/>
      <c r="S771" s="4" t="n"/>
      <c r="T771" s="4" t="n"/>
      <c r="U771" s="3">
        <f>IF(C771="","",IF(T771="",TODAY()-C771,T771-C771))</f>
        <v/>
      </c>
      <c r="V771" s="5" t="n"/>
      <c r="W771" s="6" t="n"/>
      <c r="X771" s="3">
        <f>IF(P771="","",IFERROR(VLOOKUP(P771,Parâmetros!$J$2:$K$5,2,FALSE),""))</f>
        <v/>
      </c>
      <c r="Y771" s="4">
        <f>IF(OR(C771="",X771=""),"",C771+X771)</f>
        <v/>
      </c>
      <c r="Z771" s="5">
        <f>IF(C771="","",IF(Q771="Concluído","Concluído",IF(Y771&lt;TODAY(),"Vencido",IF(Y771-TODAY()&lt;=2,"A vencer","No prazo"))))</f>
        <v/>
      </c>
      <c r="AA771" s="3">
        <f>IF(OR(Y771="",Q771="Concluído"),"",Y771-TODAY())</f>
        <v/>
      </c>
      <c r="AB771" s="5" t="n"/>
      <c r="AC771" s="5" t="n"/>
      <c r="AD771" s="4" t="n"/>
    </row>
    <row r="772">
      <c r="A772" s="3">
        <f>IF(C772="","",ROW()-1)</f>
        <v/>
      </c>
      <c r="B772" s="4" t="n"/>
      <c r="C772" s="4" t="n"/>
      <c r="D772" s="5" t="n"/>
      <c r="E772" s="5" t="n"/>
      <c r="F772" s="5" t="n"/>
      <c r="G772" s="5" t="n"/>
      <c r="H772" s="5" t="n"/>
      <c r="I772" s="5" t="n"/>
      <c r="J772" s="5" t="n"/>
      <c r="K772" s="6" t="n"/>
      <c r="L772" s="6" t="n"/>
      <c r="M772" s="6" t="n"/>
      <c r="N772" s="5" t="n"/>
      <c r="O772" s="21" t="n"/>
      <c r="P772" s="5" t="n"/>
      <c r="Q772" s="5" t="n"/>
      <c r="R772" s="6" t="n"/>
      <c r="S772" s="4" t="n"/>
      <c r="T772" s="4" t="n"/>
      <c r="U772" s="3">
        <f>IF(C772="","",IF(T772="",TODAY()-C772,T772-C772))</f>
        <v/>
      </c>
      <c r="V772" s="5" t="n"/>
      <c r="W772" s="6" t="n"/>
      <c r="X772" s="3">
        <f>IF(P772="","",IFERROR(VLOOKUP(P772,Parâmetros!$J$2:$K$5,2,FALSE),""))</f>
        <v/>
      </c>
      <c r="Y772" s="4">
        <f>IF(OR(C772="",X772=""),"",C772+X772)</f>
        <v/>
      </c>
      <c r="Z772" s="5">
        <f>IF(C772="","",IF(Q772="Concluído","Concluído",IF(Y772&lt;TODAY(),"Vencido",IF(Y772-TODAY()&lt;=2,"A vencer","No prazo"))))</f>
        <v/>
      </c>
      <c r="AA772" s="3">
        <f>IF(OR(Y772="",Q772="Concluído"),"",Y772-TODAY())</f>
        <v/>
      </c>
      <c r="AB772" s="5" t="n"/>
      <c r="AC772" s="5" t="n"/>
      <c r="AD772" s="4" t="n"/>
    </row>
    <row r="773">
      <c r="A773" s="3">
        <f>IF(C773="","",ROW()-1)</f>
        <v/>
      </c>
      <c r="B773" s="4" t="n"/>
      <c r="C773" s="4" t="n"/>
      <c r="D773" s="5" t="n"/>
      <c r="E773" s="5" t="n"/>
      <c r="F773" s="5" t="n"/>
      <c r="G773" s="5" t="n"/>
      <c r="H773" s="5" t="n"/>
      <c r="I773" s="5" t="n"/>
      <c r="J773" s="5" t="n"/>
      <c r="K773" s="6" t="n"/>
      <c r="L773" s="6" t="n"/>
      <c r="M773" s="6" t="n"/>
      <c r="N773" s="5" t="n"/>
      <c r="O773" s="21" t="n"/>
      <c r="P773" s="5" t="n"/>
      <c r="Q773" s="5" t="n"/>
      <c r="R773" s="6" t="n"/>
      <c r="S773" s="4" t="n"/>
      <c r="T773" s="4" t="n"/>
      <c r="U773" s="3">
        <f>IF(C773="","",IF(T773="",TODAY()-C773,T773-C773))</f>
        <v/>
      </c>
      <c r="V773" s="5" t="n"/>
      <c r="W773" s="6" t="n"/>
      <c r="X773" s="3">
        <f>IF(P773="","",IFERROR(VLOOKUP(P773,Parâmetros!$J$2:$K$5,2,FALSE),""))</f>
        <v/>
      </c>
      <c r="Y773" s="4">
        <f>IF(OR(C773="",X773=""),"",C773+X773)</f>
        <v/>
      </c>
      <c r="Z773" s="5">
        <f>IF(C773="","",IF(Q773="Concluído","Concluído",IF(Y773&lt;TODAY(),"Vencido",IF(Y773-TODAY()&lt;=2,"A vencer","No prazo"))))</f>
        <v/>
      </c>
      <c r="AA773" s="3">
        <f>IF(OR(Y773="",Q773="Concluído"),"",Y773-TODAY())</f>
        <v/>
      </c>
      <c r="AB773" s="5" t="n"/>
      <c r="AC773" s="5" t="n"/>
      <c r="AD773" s="4" t="n"/>
    </row>
    <row r="774">
      <c r="A774" s="3">
        <f>IF(C774="","",ROW()-1)</f>
        <v/>
      </c>
      <c r="B774" s="4" t="n"/>
      <c r="C774" s="4" t="n"/>
      <c r="D774" s="5" t="n"/>
      <c r="E774" s="5" t="n"/>
      <c r="F774" s="5" t="n"/>
      <c r="G774" s="5" t="n"/>
      <c r="H774" s="5" t="n"/>
      <c r="I774" s="5" t="n"/>
      <c r="J774" s="5" t="n"/>
      <c r="K774" s="6" t="n"/>
      <c r="L774" s="6" t="n"/>
      <c r="M774" s="6" t="n"/>
      <c r="N774" s="5" t="n"/>
      <c r="O774" s="21" t="n"/>
      <c r="P774" s="5" t="n"/>
      <c r="Q774" s="5" t="n"/>
      <c r="R774" s="6" t="n"/>
      <c r="S774" s="4" t="n"/>
      <c r="T774" s="4" t="n"/>
      <c r="U774" s="3">
        <f>IF(C774="","",IF(T774="",TODAY()-C774,T774-C774))</f>
        <v/>
      </c>
      <c r="V774" s="5" t="n"/>
      <c r="W774" s="6" t="n"/>
      <c r="X774" s="3">
        <f>IF(P774="","",IFERROR(VLOOKUP(P774,Parâmetros!$J$2:$K$5,2,FALSE),""))</f>
        <v/>
      </c>
      <c r="Y774" s="4">
        <f>IF(OR(C774="",X774=""),"",C774+X774)</f>
        <v/>
      </c>
      <c r="Z774" s="5">
        <f>IF(C774="","",IF(Q774="Concluído","Concluído",IF(Y774&lt;TODAY(),"Vencido",IF(Y774-TODAY()&lt;=2,"A vencer","No prazo"))))</f>
        <v/>
      </c>
      <c r="AA774" s="3">
        <f>IF(OR(Y774="",Q774="Concluído"),"",Y774-TODAY())</f>
        <v/>
      </c>
      <c r="AB774" s="5" t="n"/>
      <c r="AC774" s="5" t="n"/>
      <c r="AD774" s="4" t="n"/>
    </row>
    <row r="775">
      <c r="A775" s="3">
        <f>IF(C775="","",ROW()-1)</f>
        <v/>
      </c>
      <c r="B775" s="4" t="n"/>
      <c r="C775" s="4" t="n"/>
      <c r="D775" s="5" t="n"/>
      <c r="E775" s="5" t="n"/>
      <c r="F775" s="5" t="n"/>
      <c r="G775" s="5" t="n"/>
      <c r="H775" s="5" t="n"/>
      <c r="I775" s="5" t="n"/>
      <c r="J775" s="5" t="n"/>
      <c r="K775" s="6" t="n"/>
      <c r="L775" s="6" t="n"/>
      <c r="M775" s="6" t="n"/>
      <c r="N775" s="5" t="n"/>
      <c r="O775" s="21" t="n"/>
      <c r="P775" s="5" t="n"/>
      <c r="Q775" s="5" t="n"/>
      <c r="R775" s="6" t="n"/>
      <c r="S775" s="4" t="n"/>
      <c r="T775" s="4" t="n"/>
      <c r="U775" s="3">
        <f>IF(C775="","",IF(T775="",TODAY()-C775,T775-C775))</f>
        <v/>
      </c>
      <c r="V775" s="5" t="n"/>
      <c r="W775" s="6" t="n"/>
      <c r="X775" s="3">
        <f>IF(P775="","",IFERROR(VLOOKUP(P775,Parâmetros!$J$2:$K$5,2,FALSE),""))</f>
        <v/>
      </c>
      <c r="Y775" s="4">
        <f>IF(OR(C775="",X775=""),"",C775+X775)</f>
        <v/>
      </c>
      <c r="Z775" s="5">
        <f>IF(C775="","",IF(Q775="Concluído","Concluído",IF(Y775&lt;TODAY(),"Vencido",IF(Y775-TODAY()&lt;=2,"A vencer","No prazo"))))</f>
        <v/>
      </c>
      <c r="AA775" s="3">
        <f>IF(OR(Y775="",Q775="Concluído"),"",Y775-TODAY())</f>
        <v/>
      </c>
      <c r="AB775" s="5" t="n"/>
      <c r="AC775" s="5" t="n"/>
      <c r="AD775" s="4" t="n"/>
    </row>
    <row r="776">
      <c r="A776" s="3">
        <f>IF(C776="","",ROW()-1)</f>
        <v/>
      </c>
      <c r="B776" s="4" t="n"/>
      <c r="C776" s="4" t="n"/>
      <c r="D776" s="5" t="n"/>
      <c r="E776" s="5" t="n"/>
      <c r="F776" s="5" t="n"/>
      <c r="G776" s="5" t="n"/>
      <c r="H776" s="5" t="n"/>
      <c r="I776" s="5" t="n"/>
      <c r="J776" s="5" t="n"/>
      <c r="K776" s="6" t="n"/>
      <c r="L776" s="6" t="n"/>
      <c r="M776" s="6" t="n"/>
      <c r="N776" s="5" t="n"/>
      <c r="O776" s="21" t="n"/>
      <c r="P776" s="5" t="n"/>
      <c r="Q776" s="5" t="n"/>
      <c r="R776" s="6" t="n"/>
      <c r="S776" s="4" t="n"/>
      <c r="T776" s="4" t="n"/>
      <c r="U776" s="3">
        <f>IF(C776="","",IF(T776="",TODAY()-C776,T776-C776))</f>
        <v/>
      </c>
      <c r="V776" s="5" t="n"/>
      <c r="W776" s="6" t="n"/>
      <c r="X776" s="3">
        <f>IF(P776="","",IFERROR(VLOOKUP(P776,Parâmetros!$J$2:$K$5,2,FALSE),""))</f>
        <v/>
      </c>
      <c r="Y776" s="4">
        <f>IF(OR(C776="",X776=""),"",C776+X776)</f>
        <v/>
      </c>
      <c r="Z776" s="5">
        <f>IF(C776="","",IF(Q776="Concluído","Concluído",IF(Y776&lt;TODAY(),"Vencido",IF(Y776-TODAY()&lt;=2,"A vencer","No prazo"))))</f>
        <v/>
      </c>
      <c r="AA776" s="3">
        <f>IF(OR(Y776="",Q776="Concluído"),"",Y776-TODAY())</f>
        <v/>
      </c>
      <c r="AB776" s="5" t="n"/>
      <c r="AC776" s="5" t="n"/>
      <c r="AD776" s="4" t="n"/>
    </row>
    <row r="777">
      <c r="A777" s="3">
        <f>IF(C777="","",ROW()-1)</f>
        <v/>
      </c>
      <c r="B777" s="4" t="n"/>
      <c r="C777" s="4" t="n"/>
      <c r="D777" s="5" t="n"/>
      <c r="E777" s="5" t="n"/>
      <c r="F777" s="5" t="n"/>
      <c r="G777" s="5" t="n"/>
      <c r="H777" s="5" t="n"/>
      <c r="I777" s="5" t="n"/>
      <c r="J777" s="5" t="n"/>
      <c r="K777" s="6" t="n"/>
      <c r="L777" s="6" t="n"/>
      <c r="M777" s="6" t="n"/>
      <c r="N777" s="5" t="n"/>
      <c r="O777" s="21" t="n"/>
      <c r="P777" s="5" t="n"/>
      <c r="Q777" s="5" t="n"/>
      <c r="R777" s="6" t="n"/>
      <c r="S777" s="4" t="n"/>
      <c r="T777" s="4" t="n"/>
      <c r="U777" s="3">
        <f>IF(C777="","",IF(T777="",TODAY()-C777,T777-C777))</f>
        <v/>
      </c>
      <c r="V777" s="5" t="n"/>
      <c r="W777" s="6" t="n"/>
      <c r="X777" s="3">
        <f>IF(P777="","",IFERROR(VLOOKUP(P777,Parâmetros!$J$2:$K$5,2,FALSE),""))</f>
        <v/>
      </c>
      <c r="Y777" s="4">
        <f>IF(OR(C777="",X777=""),"",C777+X777)</f>
        <v/>
      </c>
      <c r="Z777" s="5">
        <f>IF(C777="","",IF(Q777="Concluído","Concluído",IF(Y777&lt;TODAY(),"Vencido",IF(Y777-TODAY()&lt;=2,"A vencer","No prazo"))))</f>
        <v/>
      </c>
      <c r="AA777" s="3">
        <f>IF(OR(Y777="",Q777="Concluído"),"",Y777-TODAY())</f>
        <v/>
      </c>
      <c r="AB777" s="5" t="n"/>
      <c r="AC777" s="5" t="n"/>
      <c r="AD777" s="4" t="n"/>
    </row>
    <row r="778">
      <c r="A778" s="3">
        <f>IF(C778="","",ROW()-1)</f>
        <v/>
      </c>
      <c r="B778" s="4" t="n"/>
      <c r="C778" s="4" t="n"/>
      <c r="D778" s="5" t="n"/>
      <c r="E778" s="5" t="n"/>
      <c r="F778" s="5" t="n"/>
      <c r="G778" s="5" t="n"/>
      <c r="H778" s="5" t="n"/>
      <c r="I778" s="5" t="n"/>
      <c r="J778" s="5" t="n"/>
      <c r="K778" s="6" t="n"/>
      <c r="L778" s="6" t="n"/>
      <c r="M778" s="6" t="n"/>
      <c r="N778" s="5" t="n"/>
      <c r="O778" s="21" t="n"/>
      <c r="P778" s="5" t="n"/>
      <c r="Q778" s="5" t="n"/>
      <c r="R778" s="6" t="n"/>
      <c r="S778" s="4" t="n"/>
      <c r="T778" s="4" t="n"/>
      <c r="U778" s="3">
        <f>IF(C778="","",IF(T778="",TODAY()-C778,T778-C778))</f>
        <v/>
      </c>
      <c r="V778" s="5" t="n"/>
      <c r="W778" s="6" t="n"/>
      <c r="X778" s="3">
        <f>IF(P778="","",IFERROR(VLOOKUP(P778,Parâmetros!$J$2:$K$5,2,FALSE),""))</f>
        <v/>
      </c>
      <c r="Y778" s="4">
        <f>IF(OR(C778="",X778=""),"",C778+X778)</f>
        <v/>
      </c>
      <c r="Z778" s="5">
        <f>IF(C778="","",IF(Q778="Concluído","Concluído",IF(Y778&lt;TODAY(),"Vencido",IF(Y778-TODAY()&lt;=2,"A vencer","No prazo"))))</f>
        <v/>
      </c>
      <c r="AA778" s="3">
        <f>IF(OR(Y778="",Q778="Concluído"),"",Y778-TODAY())</f>
        <v/>
      </c>
      <c r="AB778" s="5" t="n"/>
      <c r="AC778" s="5" t="n"/>
      <c r="AD778" s="4" t="n"/>
    </row>
    <row r="779">
      <c r="A779" s="3">
        <f>IF(C779="","",ROW()-1)</f>
        <v/>
      </c>
      <c r="B779" s="4" t="n"/>
      <c r="C779" s="4" t="n"/>
      <c r="D779" s="5" t="n"/>
      <c r="E779" s="5" t="n"/>
      <c r="F779" s="5" t="n"/>
      <c r="G779" s="5" t="n"/>
      <c r="H779" s="5" t="n"/>
      <c r="I779" s="5" t="n"/>
      <c r="J779" s="5" t="n"/>
      <c r="K779" s="6" t="n"/>
      <c r="L779" s="6" t="n"/>
      <c r="M779" s="6" t="n"/>
      <c r="N779" s="5" t="n"/>
      <c r="O779" s="21" t="n"/>
      <c r="P779" s="5" t="n"/>
      <c r="Q779" s="5" t="n"/>
      <c r="R779" s="6" t="n"/>
      <c r="S779" s="4" t="n"/>
      <c r="T779" s="4" t="n"/>
      <c r="U779" s="3">
        <f>IF(C779="","",IF(T779="",TODAY()-C779,T779-C779))</f>
        <v/>
      </c>
      <c r="V779" s="5" t="n"/>
      <c r="W779" s="6" t="n"/>
      <c r="X779" s="3">
        <f>IF(P779="","",IFERROR(VLOOKUP(P779,Parâmetros!$J$2:$K$5,2,FALSE),""))</f>
        <v/>
      </c>
      <c r="Y779" s="4">
        <f>IF(OR(C779="",X779=""),"",C779+X779)</f>
        <v/>
      </c>
      <c r="Z779" s="5">
        <f>IF(C779="","",IF(Q779="Concluído","Concluído",IF(Y779&lt;TODAY(),"Vencido",IF(Y779-TODAY()&lt;=2,"A vencer","No prazo"))))</f>
        <v/>
      </c>
      <c r="AA779" s="3">
        <f>IF(OR(Y779="",Q779="Concluído"),"",Y779-TODAY())</f>
        <v/>
      </c>
      <c r="AB779" s="5" t="n"/>
      <c r="AC779" s="5" t="n"/>
      <c r="AD779" s="4" t="n"/>
    </row>
    <row r="780">
      <c r="A780" s="3">
        <f>IF(C780="","",ROW()-1)</f>
        <v/>
      </c>
      <c r="B780" s="4" t="n"/>
      <c r="C780" s="4" t="n"/>
      <c r="D780" s="5" t="n"/>
      <c r="E780" s="5" t="n"/>
      <c r="F780" s="5" t="n"/>
      <c r="G780" s="5" t="n"/>
      <c r="H780" s="5" t="n"/>
      <c r="I780" s="5" t="n"/>
      <c r="J780" s="5" t="n"/>
      <c r="K780" s="6" t="n"/>
      <c r="L780" s="6" t="n"/>
      <c r="M780" s="6" t="n"/>
      <c r="N780" s="5" t="n"/>
      <c r="O780" s="21" t="n"/>
      <c r="P780" s="5" t="n"/>
      <c r="Q780" s="5" t="n"/>
      <c r="R780" s="6" t="n"/>
      <c r="S780" s="4" t="n"/>
      <c r="T780" s="4" t="n"/>
      <c r="U780" s="3">
        <f>IF(C780="","",IF(T780="",TODAY()-C780,T780-C780))</f>
        <v/>
      </c>
      <c r="V780" s="5" t="n"/>
      <c r="W780" s="6" t="n"/>
      <c r="X780" s="3">
        <f>IF(P780="","",IFERROR(VLOOKUP(P780,Parâmetros!$J$2:$K$5,2,FALSE),""))</f>
        <v/>
      </c>
      <c r="Y780" s="4">
        <f>IF(OR(C780="",X780=""),"",C780+X780)</f>
        <v/>
      </c>
      <c r="Z780" s="5">
        <f>IF(C780="","",IF(Q780="Concluído","Concluído",IF(Y780&lt;TODAY(),"Vencido",IF(Y780-TODAY()&lt;=2,"A vencer","No prazo"))))</f>
        <v/>
      </c>
      <c r="AA780" s="3">
        <f>IF(OR(Y780="",Q780="Concluído"),"",Y780-TODAY())</f>
        <v/>
      </c>
      <c r="AB780" s="5" t="n"/>
      <c r="AC780" s="5" t="n"/>
      <c r="AD780" s="4" t="n"/>
    </row>
    <row r="781">
      <c r="A781" s="3">
        <f>IF(C781="","",ROW()-1)</f>
        <v/>
      </c>
      <c r="B781" s="4" t="n"/>
      <c r="C781" s="4" t="n"/>
      <c r="D781" s="5" t="n"/>
      <c r="E781" s="5" t="n"/>
      <c r="F781" s="5" t="n"/>
      <c r="G781" s="5" t="n"/>
      <c r="H781" s="5" t="n"/>
      <c r="I781" s="5" t="n"/>
      <c r="J781" s="5" t="n"/>
      <c r="K781" s="6" t="n"/>
      <c r="L781" s="6" t="n"/>
      <c r="M781" s="6" t="n"/>
      <c r="N781" s="5" t="n"/>
      <c r="O781" s="21" t="n"/>
      <c r="P781" s="5" t="n"/>
      <c r="Q781" s="5" t="n"/>
      <c r="R781" s="6" t="n"/>
      <c r="S781" s="4" t="n"/>
      <c r="T781" s="4" t="n"/>
      <c r="U781" s="3">
        <f>IF(C781="","",IF(T781="",TODAY()-C781,T781-C781))</f>
        <v/>
      </c>
      <c r="V781" s="5" t="n"/>
      <c r="W781" s="6" t="n"/>
      <c r="X781" s="3">
        <f>IF(P781="","",IFERROR(VLOOKUP(P781,Parâmetros!$J$2:$K$5,2,FALSE),""))</f>
        <v/>
      </c>
      <c r="Y781" s="4">
        <f>IF(OR(C781="",X781=""),"",C781+X781)</f>
        <v/>
      </c>
      <c r="Z781" s="5">
        <f>IF(C781="","",IF(Q781="Concluído","Concluído",IF(Y781&lt;TODAY(),"Vencido",IF(Y781-TODAY()&lt;=2,"A vencer","No prazo"))))</f>
        <v/>
      </c>
      <c r="AA781" s="3">
        <f>IF(OR(Y781="",Q781="Concluído"),"",Y781-TODAY())</f>
        <v/>
      </c>
      <c r="AB781" s="5" t="n"/>
      <c r="AC781" s="5" t="n"/>
      <c r="AD781" s="4" t="n"/>
    </row>
    <row r="782">
      <c r="A782" s="3">
        <f>IF(C782="","",ROW()-1)</f>
        <v/>
      </c>
      <c r="B782" s="4" t="n"/>
      <c r="C782" s="4" t="n"/>
      <c r="D782" s="5" t="n"/>
      <c r="E782" s="5" t="n"/>
      <c r="F782" s="5" t="n"/>
      <c r="G782" s="5" t="n"/>
      <c r="H782" s="5" t="n"/>
      <c r="I782" s="5" t="n"/>
      <c r="J782" s="5" t="n"/>
      <c r="K782" s="6" t="n"/>
      <c r="L782" s="6" t="n"/>
      <c r="M782" s="6" t="n"/>
      <c r="N782" s="5" t="n"/>
      <c r="O782" s="21" t="n"/>
      <c r="P782" s="5" t="n"/>
      <c r="Q782" s="5" t="n"/>
      <c r="R782" s="6" t="n"/>
      <c r="S782" s="4" t="n"/>
      <c r="T782" s="4" t="n"/>
      <c r="U782" s="3">
        <f>IF(C782="","",IF(T782="",TODAY()-C782,T782-C782))</f>
        <v/>
      </c>
      <c r="V782" s="5" t="n"/>
      <c r="W782" s="6" t="n"/>
      <c r="X782" s="3">
        <f>IF(P782="","",IFERROR(VLOOKUP(P782,Parâmetros!$J$2:$K$5,2,FALSE),""))</f>
        <v/>
      </c>
      <c r="Y782" s="4">
        <f>IF(OR(C782="",X782=""),"",C782+X782)</f>
        <v/>
      </c>
      <c r="Z782" s="5">
        <f>IF(C782="","",IF(Q782="Concluído","Concluído",IF(Y782&lt;TODAY(),"Vencido",IF(Y782-TODAY()&lt;=2,"A vencer","No prazo"))))</f>
        <v/>
      </c>
      <c r="AA782" s="3">
        <f>IF(OR(Y782="",Q782="Concluído"),"",Y782-TODAY())</f>
        <v/>
      </c>
      <c r="AB782" s="5" t="n"/>
      <c r="AC782" s="5" t="n"/>
      <c r="AD782" s="4" t="n"/>
    </row>
    <row r="783">
      <c r="A783" s="3">
        <f>IF(C783="","",ROW()-1)</f>
        <v/>
      </c>
      <c r="B783" s="4" t="n"/>
      <c r="C783" s="4" t="n"/>
      <c r="D783" s="5" t="n"/>
      <c r="E783" s="5" t="n"/>
      <c r="F783" s="5" t="n"/>
      <c r="G783" s="5" t="n"/>
      <c r="H783" s="5" t="n"/>
      <c r="I783" s="5" t="n"/>
      <c r="J783" s="5" t="n"/>
      <c r="K783" s="6" t="n"/>
      <c r="L783" s="6" t="n"/>
      <c r="M783" s="6" t="n"/>
      <c r="N783" s="5" t="n"/>
      <c r="O783" s="21" t="n"/>
      <c r="P783" s="5" t="n"/>
      <c r="Q783" s="5" t="n"/>
      <c r="R783" s="6" t="n"/>
      <c r="S783" s="4" t="n"/>
      <c r="T783" s="4" t="n"/>
      <c r="U783" s="3">
        <f>IF(C783="","",IF(T783="",TODAY()-C783,T783-C783))</f>
        <v/>
      </c>
      <c r="V783" s="5" t="n"/>
      <c r="W783" s="6" t="n"/>
      <c r="X783" s="3">
        <f>IF(P783="","",IFERROR(VLOOKUP(P783,Parâmetros!$J$2:$K$5,2,FALSE),""))</f>
        <v/>
      </c>
      <c r="Y783" s="4">
        <f>IF(OR(C783="",X783=""),"",C783+X783)</f>
        <v/>
      </c>
      <c r="Z783" s="5">
        <f>IF(C783="","",IF(Q783="Concluído","Concluído",IF(Y783&lt;TODAY(),"Vencido",IF(Y783-TODAY()&lt;=2,"A vencer","No prazo"))))</f>
        <v/>
      </c>
      <c r="AA783" s="3">
        <f>IF(OR(Y783="",Q783="Concluído"),"",Y783-TODAY())</f>
        <v/>
      </c>
      <c r="AB783" s="5" t="n"/>
      <c r="AC783" s="5" t="n"/>
      <c r="AD783" s="4" t="n"/>
    </row>
    <row r="784">
      <c r="A784" s="3">
        <f>IF(C784="","",ROW()-1)</f>
        <v/>
      </c>
      <c r="B784" s="4" t="n"/>
      <c r="C784" s="4" t="n"/>
      <c r="D784" s="5" t="n"/>
      <c r="E784" s="5" t="n"/>
      <c r="F784" s="5" t="n"/>
      <c r="G784" s="5" t="n"/>
      <c r="H784" s="5" t="n"/>
      <c r="I784" s="5" t="n"/>
      <c r="J784" s="5" t="n"/>
      <c r="K784" s="6" t="n"/>
      <c r="L784" s="6" t="n"/>
      <c r="M784" s="6" t="n"/>
      <c r="N784" s="5" t="n"/>
      <c r="O784" s="21" t="n"/>
      <c r="P784" s="5" t="n"/>
      <c r="Q784" s="5" t="n"/>
      <c r="R784" s="6" t="n"/>
      <c r="S784" s="4" t="n"/>
      <c r="T784" s="4" t="n"/>
      <c r="U784" s="3">
        <f>IF(C784="","",IF(T784="",TODAY()-C784,T784-C784))</f>
        <v/>
      </c>
      <c r="V784" s="5" t="n"/>
      <c r="W784" s="6" t="n"/>
      <c r="X784" s="3">
        <f>IF(P784="","",IFERROR(VLOOKUP(P784,Parâmetros!$J$2:$K$5,2,FALSE),""))</f>
        <v/>
      </c>
      <c r="Y784" s="4">
        <f>IF(OR(C784="",X784=""),"",C784+X784)</f>
        <v/>
      </c>
      <c r="Z784" s="5">
        <f>IF(C784="","",IF(Q784="Concluído","Concluído",IF(Y784&lt;TODAY(),"Vencido",IF(Y784-TODAY()&lt;=2,"A vencer","No prazo"))))</f>
        <v/>
      </c>
      <c r="AA784" s="3">
        <f>IF(OR(Y784="",Q784="Concluído"),"",Y784-TODAY())</f>
        <v/>
      </c>
      <c r="AB784" s="5" t="n"/>
      <c r="AC784" s="5" t="n"/>
      <c r="AD784" s="4" t="n"/>
    </row>
    <row r="785">
      <c r="A785" s="3">
        <f>IF(C785="","",ROW()-1)</f>
        <v/>
      </c>
      <c r="B785" s="4" t="n"/>
      <c r="C785" s="4" t="n"/>
      <c r="D785" s="5" t="n"/>
      <c r="E785" s="5" t="n"/>
      <c r="F785" s="5" t="n"/>
      <c r="G785" s="5" t="n"/>
      <c r="H785" s="5" t="n"/>
      <c r="I785" s="5" t="n"/>
      <c r="J785" s="5" t="n"/>
      <c r="K785" s="6" t="n"/>
      <c r="L785" s="6" t="n"/>
      <c r="M785" s="6" t="n"/>
      <c r="N785" s="5" t="n"/>
      <c r="O785" s="21" t="n"/>
      <c r="P785" s="5" t="n"/>
      <c r="Q785" s="5" t="n"/>
      <c r="R785" s="6" t="n"/>
      <c r="S785" s="4" t="n"/>
      <c r="T785" s="4" t="n"/>
      <c r="U785" s="3">
        <f>IF(C785="","",IF(T785="",TODAY()-C785,T785-C785))</f>
        <v/>
      </c>
      <c r="V785" s="5" t="n"/>
      <c r="W785" s="6" t="n"/>
      <c r="X785" s="3">
        <f>IF(P785="","",IFERROR(VLOOKUP(P785,Parâmetros!$J$2:$K$5,2,FALSE),""))</f>
        <v/>
      </c>
      <c r="Y785" s="4">
        <f>IF(OR(C785="",X785=""),"",C785+X785)</f>
        <v/>
      </c>
      <c r="Z785" s="5">
        <f>IF(C785="","",IF(Q785="Concluído","Concluído",IF(Y785&lt;TODAY(),"Vencido",IF(Y785-TODAY()&lt;=2,"A vencer","No prazo"))))</f>
        <v/>
      </c>
      <c r="AA785" s="3">
        <f>IF(OR(Y785="",Q785="Concluído"),"",Y785-TODAY())</f>
        <v/>
      </c>
      <c r="AB785" s="5" t="n"/>
      <c r="AC785" s="5" t="n"/>
      <c r="AD785" s="4" t="n"/>
    </row>
    <row r="786">
      <c r="A786" s="3">
        <f>IF(C786="","",ROW()-1)</f>
        <v/>
      </c>
      <c r="B786" s="4" t="n"/>
      <c r="C786" s="4" t="n"/>
      <c r="D786" s="5" t="n"/>
      <c r="E786" s="5" t="n"/>
      <c r="F786" s="5" t="n"/>
      <c r="G786" s="5" t="n"/>
      <c r="H786" s="5" t="n"/>
      <c r="I786" s="5" t="n"/>
      <c r="J786" s="5" t="n"/>
      <c r="K786" s="6" t="n"/>
      <c r="L786" s="6" t="n"/>
      <c r="M786" s="6" t="n"/>
      <c r="N786" s="5" t="n"/>
      <c r="O786" s="21" t="n"/>
      <c r="P786" s="5" t="n"/>
      <c r="Q786" s="5" t="n"/>
      <c r="R786" s="6" t="n"/>
      <c r="S786" s="4" t="n"/>
      <c r="T786" s="4" t="n"/>
      <c r="U786" s="3">
        <f>IF(C786="","",IF(T786="",TODAY()-C786,T786-C786))</f>
        <v/>
      </c>
      <c r="V786" s="5" t="n"/>
      <c r="W786" s="6" t="n"/>
      <c r="X786" s="3">
        <f>IF(P786="","",IFERROR(VLOOKUP(P786,Parâmetros!$J$2:$K$5,2,FALSE),""))</f>
        <v/>
      </c>
      <c r="Y786" s="4">
        <f>IF(OR(C786="",X786=""),"",C786+X786)</f>
        <v/>
      </c>
      <c r="Z786" s="5">
        <f>IF(C786="","",IF(Q786="Concluído","Concluído",IF(Y786&lt;TODAY(),"Vencido",IF(Y786-TODAY()&lt;=2,"A vencer","No prazo"))))</f>
        <v/>
      </c>
      <c r="AA786" s="3">
        <f>IF(OR(Y786="",Q786="Concluído"),"",Y786-TODAY())</f>
        <v/>
      </c>
      <c r="AB786" s="5" t="n"/>
      <c r="AC786" s="5" t="n"/>
      <c r="AD786" s="4" t="n"/>
    </row>
    <row r="787">
      <c r="A787" s="3">
        <f>IF(C787="","",ROW()-1)</f>
        <v/>
      </c>
      <c r="B787" s="4" t="n"/>
      <c r="C787" s="4" t="n"/>
      <c r="D787" s="5" t="n"/>
      <c r="E787" s="5" t="n"/>
      <c r="F787" s="5" t="n"/>
      <c r="G787" s="5" t="n"/>
      <c r="H787" s="5" t="n"/>
      <c r="I787" s="5" t="n"/>
      <c r="J787" s="5" t="n"/>
      <c r="K787" s="6" t="n"/>
      <c r="L787" s="6" t="n"/>
      <c r="M787" s="6" t="n"/>
      <c r="N787" s="5" t="n"/>
      <c r="O787" s="21" t="n"/>
      <c r="P787" s="5" t="n"/>
      <c r="Q787" s="5" t="n"/>
      <c r="R787" s="6" t="n"/>
      <c r="S787" s="4" t="n"/>
      <c r="T787" s="4" t="n"/>
      <c r="U787" s="3">
        <f>IF(C787="","",IF(T787="",TODAY()-C787,T787-C787))</f>
        <v/>
      </c>
      <c r="V787" s="5" t="n"/>
      <c r="W787" s="6" t="n"/>
      <c r="X787" s="3">
        <f>IF(P787="","",IFERROR(VLOOKUP(P787,Parâmetros!$J$2:$K$5,2,FALSE),""))</f>
        <v/>
      </c>
      <c r="Y787" s="4">
        <f>IF(OR(C787="",X787=""),"",C787+X787)</f>
        <v/>
      </c>
      <c r="Z787" s="5">
        <f>IF(C787="","",IF(Q787="Concluído","Concluído",IF(Y787&lt;TODAY(),"Vencido",IF(Y787-TODAY()&lt;=2,"A vencer","No prazo"))))</f>
        <v/>
      </c>
      <c r="AA787" s="3">
        <f>IF(OR(Y787="",Q787="Concluído"),"",Y787-TODAY())</f>
        <v/>
      </c>
      <c r="AB787" s="5" t="n"/>
      <c r="AC787" s="5" t="n"/>
      <c r="AD787" s="4" t="n"/>
    </row>
    <row r="788">
      <c r="A788" s="3">
        <f>IF(C788="","",ROW()-1)</f>
        <v/>
      </c>
      <c r="B788" s="4" t="n"/>
      <c r="C788" s="4" t="n"/>
      <c r="D788" s="5" t="n"/>
      <c r="E788" s="5" t="n"/>
      <c r="F788" s="5" t="n"/>
      <c r="G788" s="5" t="n"/>
      <c r="H788" s="5" t="n"/>
      <c r="I788" s="5" t="n"/>
      <c r="J788" s="5" t="n"/>
      <c r="K788" s="6" t="n"/>
      <c r="L788" s="6" t="n"/>
      <c r="M788" s="6" t="n"/>
      <c r="N788" s="5" t="n"/>
      <c r="O788" s="21" t="n"/>
      <c r="P788" s="5" t="n"/>
      <c r="Q788" s="5" t="n"/>
      <c r="R788" s="6" t="n"/>
      <c r="S788" s="4" t="n"/>
      <c r="T788" s="4" t="n"/>
      <c r="U788" s="3">
        <f>IF(C788="","",IF(T788="",TODAY()-C788,T788-C788))</f>
        <v/>
      </c>
      <c r="V788" s="5" t="n"/>
      <c r="W788" s="6" t="n"/>
      <c r="X788" s="3">
        <f>IF(P788="","",IFERROR(VLOOKUP(P788,Parâmetros!$J$2:$K$5,2,FALSE),""))</f>
        <v/>
      </c>
      <c r="Y788" s="4">
        <f>IF(OR(C788="",X788=""),"",C788+X788)</f>
        <v/>
      </c>
      <c r="Z788" s="5">
        <f>IF(C788="","",IF(Q788="Concluído","Concluído",IF(Y788&lt;TODAY(),"Vencido",IF(Y788-TODAY()&lt;=2,"A vencer","No prazo"))))</f>
        <v/>
      </c>
      <c r="AA788" s="3">
        <f>IF(OR(Y788="",Q788="Concluído"),"",Y788-TODAY())</f>
        <v/>
      </c>
      <c r="AB788" s="5" t="n"/>
      <c r="AC788" s="5" t="n"/>
      <c r="AD788" s="4" t="n"/>
    </row>
    <row r="789">
      <c r="A789" s="3">
        <f>IF(C789="","",ROW()-1)</f>
        <v/>
      </c>
      <c r="B789" s="4" t="n"/>
      <c r="C789" s="4" t="n"/>
      <c r="D789" s="5" t="n"/>
      <c r="E789" s="5" t="n"/>
      <c r="F789" s="5" t="n"/>
      <c r="G789" s="5" t="n"/>
      <c r="H789" s="5" t="n"/>
      <c r="I789" s="5" t="n"/>
      <c r="J789" s="5" t="n"/>
      <c r="K789" s="6" t="n"/>
      <c r="L789" s="6" t="n"/>
      <c r="M789" s="6" t="n"/>
      <c r="N789" s="5" t="n"/>
      <c r="O789" s="21" t="n"/>
      <c r="P789" s="5" t="n"/>
      <c r="Q789" s="5" t="n"/>
      <c r="R789" s="6" t="n"/>
      <c r="S789" s="4" t="n"/>
      <c r="T789" s="4" t="n"/>
      <c r="U789" s="3">
        <f>IF(C789="","",IF(T789="",TODAY()-C789,T789-C789))</f>
        <v/>
      </c>
      <c r="V789" s="5" t="n"/>
      <c r="W789" s="6" t="n"/>
      <c r="X789" s="3">
        <f>IF(P789="","",IFERROR(VLOOKUP(P789,Parâmetros!$J$2:$K$5,2,FALSE),""))</f>
        <v/>
      </c>
      <c r="Y789" s="4">
        <f>IF(OR(C789="",X789=""),"",C789+X789)</f>
        <v/>
      </c>
      <c r="Z789" s="5">
        <f>IF(C789="","",IF(Q789="Concluído","Concluído",IF(Y789&lt;TODAY(),"Vencido",IF(Y789-TODAY()&lt;=2,"A vencer","No prazo"))))</f>
        <v/>
      </c>
      <c r="AA789" s="3">
        <f>IF(OR(Y789="",Q789="Concluído"),"",Y789-TODAY())</f>
        <v/>
      </c>
      <c r="AB789" s="5" t="n"/>
      <c r="AC789" s="5" t="n"/>
      <c r="AD789" s="4" t="n"/>
    </row>
    <row r="790">
      <c r="A790" s="3">
        <f>IF(C790="","",ROW()-1)</f>
        <v/>
      </c>
      <c r="B790" s="4" t="n"/>
      <c r="C790" s="4" t="n"/>
      <c r="D790" s="5" t="n"/>
      <c r="E790" s="5" t="n"/>
      <c r="F790" s="5" t="n"/>
      <c r="G790" s="5" t="n"/>
      <c r="H790" s="5" t="n"/>
      <c r="I790" s="5" t="n"/>
      <c r="J790" s="5" t="n"/>
      <c r="K790" s="6" t="n"/>
      <c r="L790" s="6" t="n"/>
      <c r="M790" s="6" t="n"/>
      <c r="N790" s="5" t="n"/>
      <c r="O790" s="21" t="n"/>
      <c r="P790" s="5" t="n"/>
      <c r="Q790" s="5" t="n"/>
      <c r="R790" s="6" t="n"/>
      <c r="S790" s="4" t="n"/>
      <c r="T790" s="4" t="n"/>
      <c r="U790" s="3">
        <f>IF(C790="","",IF(T790="",TODAY()-C790,T790-C790))</f>
        <v/>
      </c>
      <c r="V790" s="5" t="n"/>
      <c r="W790" s="6" t="n"/>
      <c r="X790" s="3">
        <f>IF(P790="","",IFERROR(VLOOKUP(P790,Parâmetros!$J$2:$K$5,2,FALSE),""))</f>
        <v/>
      </c>
      <c r="Y790" s="4">
        <f>IF(OR(C790="",X790=""),"",C790+X790)</f>
        <v/>
      </c>
      <c r="Z790" s="5">
        <f>IF(C790="","",IF(Q790="Concluído","Concluído",IF(Y790&lt;TODAY(),"Vencido",IF(Y790-TODAY()&lt;=2,"A vencer","No prazo"))))</f>
        <v/>
      </c>
      <c r="AA790" s="3">
        <f>IF(OR(Y790="",Q790="Concluído"),"",Y790-TODAY())</f>
        <v/>
      </c>
      <c r="AB790" s="5" t="n"/>
      <c r="AC790" s="5" t="n"/>
      <c r="AD790" s="4" t="n"/>
    </row>
    <row r="791">
      <c r="A791" s="3">
        <f>IF(C791="","",ROW()-1)</f>
        <v/>
      </c>
      <c r="B791" s="4" t="n"/>
      <c r="C791" s="4" t="n"/>
      <c r="D791" s="5" t="n"/>
      <c r="E791" s="5" t="n"/>
      <c r="F791" s="5" t="n"/>
      <c r="G791" s="5" t="n"/>
      <c r="H791" s="5" t="n"/>
      <c r="I791" s="5" t="n"/>
      <c r="J791" s="5" t="n"/>
      <c r="K791" s="6" t="n"/>
      <c r="L791" s="6" t="n"/>
      <c r="M791" s="6" t="n"/>
      <c r="N791" s="5" t="n"/>
      <c r="O791" s="21" t="n"/>
      <c r="P791" s="5" t="n"/>
      <c r="Q791" s="5" t="n"/>
      <c r="R791" s="6" t="n"/>
      <c r="S791" s="4" t="n"/>
      <c r="T791" s="4" t="n"/>
      <c r="U791" s="3">
        <f>IF(C791="","",IF(T791="",TODAY()-C791,T791-C791))</f>
        <v/>
      </c>
      <c r="V791" s="5" t="n"/>
      <c r="W791" s="6" t="n"/>
      <c r="X791" s="3">
        <f>IF(P791="","",IFERROR(VLOOKUP(P791,Parâmetros!$J$2:$K$5,2,FALSE),""))</f>
        <v/>
      </c>
      <c r="Y791" s="4">
        <f>IF(OR(C791="",X791=""),"",C791+X791)</f>
        <v/>
      </c>
      <c r="Z791" s="5">
        <f>IF(C791="","",IF(Q791="Concluído","Concluído",IF(Y791&lt;TODAY(),"Vencido",IF(Y791-TODAY()&lt;=2,"A vencer","No prazo"))))</f>
        <v/>
      </c>
      <c r="AA791" s="3">
        <f>IF(OR(Y791="",Q791="Concluído"),"",Y791-TODAY())</f>
        <v/>
      </c>
      <c r="AB791" s="5" t="n"/>
      <c r="AC791" s="5" t="n"/>
      <c r="AD791" s="4" t="n"/>
    </row>
    <row r="792">
      <c r="A792" s="3">
        <f>IF(C792="","",ROW()-1)</f>
        <v/>
      </c>
      <c r="B792" s="4" t="n"/>
      <c r="C792" s="4" t="n"/>
      <c r="D792" s="5" t="n"/>
      <c r="E792" s="5" t="n"/>
      <c r="F792" s="5" t="n"/>
      <c r="G792" s="5" t="n"/>
      <c r="H792" s="5" t="n"/>
      <c r="I792" s="5" t="n"/>
      <c r="J792" s="5" t="n"/>
      <c r="K792" s="6" t="n"/>
      <c r="L792" s="6" t="n"/>
      <c r="M792" s="6" t="n"/>
      <c r="N792" s="5" t="n"/>
      <c r="O792" s="21" t="n"/>
      <c r="P792" s="5" t="n"/>
      <c r="Q792" s="5" t="n"/>
      <c r="R792" s="6" t="n"/>
      <c r="S792" s="4" t="n"/>
      <c r="T792" s="4" t="n"/>
      <c r="U792" s="3">
        <f>IF(C792="","",IF(T792="",TODAY()-C792,T792-C792))</f>
        <v/>
      </c>
      <c r="V792" s="5" t="n"/>
      <c r="W792" s="6" t="n"/>
      <c r="X792" s="3">
        <f>IF(P792="","",IFERROR(VLOOKUP(P792,Parâmetros!$J$2:$K$5,2,FALSE),""))</f>
        <v/>
      </c>
      <c r="Y792" s="4">
        <f>IF(OR(C792="",X792=""),"",C792+X792)</f>
        <v/>
      </c>
      <c r="Z792" s="5">
        <f>IF(C792="","",IF(Q792="Concluído","Concluído",IF(Y792&lt;TODAY(),"Vencido",IF(Y792-TODAY()&lt;=2,"A vencer","No prazo"))))</f>
        <v/>
      </c>
      <c r="AA792" s="3">
        <f>IF(OR(Y792="",Q792="Concluído"),"",Y792-TODAY())</f>
        <v/>
      </c>
      <c r="AB792" s="5" t="n"/>
      <c r="AC792" s="5" t="n"/>
      <c r="AD792" s="4" t="n"/>
    </row>
    <row r="793">
      <c r="A793" s="3">
        <f>IF(C793="","",ROW()-1)</f>
        <v/>
      </c>
      <c r="B793" s="4" t="n"/>
      <c r="C793" s="4" t="n"/>
      <c r="D793" s="5" t="n"/>
      <c r="E793" s="5" t="n"/>
      <c r="F793" s="5" t="n"/>
      <c r="G793" s="5" t="n"/>
      <c r="H793" s="5" t="n"/>
      <c r="I793" s="5" t="n"/>
      <c r="J793" s="5" t="n"/>
      <c r="K793" s="6" t="n"/>
      <c r="L793" s="6" t="n"/>
      <c r="M793" s="6" t="n"/>
      <c r="N793" s="5" t="n"/>
      <c r="O793" s="21" t="n"/>
      <c r="P793" s="5" t="n"/>
      <c r="Q793" s="5" t="n"/>
      <c r="R793" s="6" t="n"/>
      <c r="S793" s="4" t="n"/>
      <c r="T793" s="4" t="n"/>
      <c r="U793" s="3">
        <f>IF(C793="","",IF(T793="",TODAY()-C793,T793-C793))</f>
        <v/>
      </c>
      <c r="V793" s="5" t="n"/>
      <c r="W793" s="6" t="n"/>
      <c r="X793" s="3">
        <f>IF(P793="","",IFERROR(VLOOKUP(P793,Parâmetros!$J$2:$K$5,2,FALSE),""))</f>
        <v/>
      </c>
      <c r="Y793" s="4">
        <f>IF(OR(C793="",X793=""),"",C793+X793)</f>
        <v/>
      </c>
      <c r="Z793" s="5">
        <f>IF(C793="","",IF(Q793="Concluído","Concluído",IF(Y793&lt;TODAY(),"Vencido",IF(Y793-TODAY()&lt;=2,"A vencer","No prazo"))))</f>
        <v/>
      </c>
      <c r="AA793" s="3">
        <f>IF(OR(Y793="",Q793="Concluído"),"",Y793-TODAY())</f>
        <v/>
      </c>
      <c r="AB793" s="5" t="n"/>
      <c r="AC793" s="5" t="n"/>
      <c r="AD793" s="4" t="n"/>
    </row>
    <row r="794">
      <c r="A794" s="3">
        <f>IF(C794="","",ROW()-1)</f>
        <v/>
      </c>
      <c r="B794" s="4" t="n"/>
      <c r="C794" s="4" t="n"/>
      <c r="D794" s="5" t="n"/>
      <c r="E794" s="5" t="n"/>
      <c r="F794" s="5" t="n"/>
      <c r="G794" s="5" t="n"/>
      <c r="H794" s="5" t="n"/>
      <c r="I794" s="5" t="n"/>
      <c r="J794" s="5" t="n"/>
      <c r="K794" s="6" t="n"/>
      <c r="L794" s="6" t="n"/>
      <c r="M794" s="6" t="n"/>
      <c r="N794" s="5" t="n"/>
      <c r="O794" s="21" t="n"/>
      <c r="P794" s="5" t="n"/>
      <c r="Q794" s="5" t="n"/>
      <c r="R794" s="6" t="n"/>
      <c r="S794" s="4" t="n"/>
      <c r="T794" s="4" t="n"/>
      <c r="U794" s="3">
        <f>IF(C794="","",IF(T794="",TODAY()-C794,T794-C794))</f>
        <v/>
      </c>
      <c r="V794" s="5" t="n"/>
      <c r="W794" s="6" t="n"/>
      <c r="X794" s="3">
        <f>IF(P794="","",IFERROR(VLOOKUP(P794,Parâmetros!$J$2:$K$5,2,FALSE),""))</f>
        <v/>
      </c>
      <c r="Y794" s="4">
        <f>IF(OR(C794="",X794=""),"",C794+X794)</f>
        <v/>
      </c>
      <c r="Z794" s="5">
        <f>IF(C794="","",IF(Q794="Concluído","Concluído",IF(Y794&lt;TODAY(),"Vencido",IF(Y794-TODAY()&lt;=2,"A vencer","No prazo"))))</f>
        <v/>
      </c>
      <c r="AA794" s="3">
        <f>IF(OR(Y794="",Q794="Concluído"),"",Y794-TODAY())</f>
        <v/>
      </c>
      <c r="AB794" s="5" t="n"/>
      <c r="AC794" s="5" t="n"/>
      <c r="AD794" s="4" t="n"/>
    </row>
    <row r="795">
      <c r="A795" s="3">
        <f>IF(C795="","",ROW()-1)</f>
        <v/>
      </c>
      <c r="B795" s="4" t="n"/>
      <c r="C795" s="4" t="n"/>
      <c r="D795" s="5" t="n"/>
      <c r="E795" s="5" t="n"/>
      <c r="F795" s="5" t="n"/>
      <c r="G795" s="5" t="n"/>
      <c r="H795" s="5" t="n"/>
      <c r="I795" s="5" t="n"/>
      <c r="J795" s="5" t="n"/>
      <c r="K795" s="6" t="n"/>
      <c r="L795" s="6" t="n"/>
      <c r="M795" s="6" t="n"/>
      <c r="N795" s="5" t="n"/>
      <c r="O795" s="21" t="n"/>
      <c r="P795" s="5" t="n"/>
      <c r="Q795" s="5" t="n"/>
      <c r="R795" s="6" t="n"/>
      <c r="S795" s="4" t="n"/>
      <c r="T795" s="4" t="n"/>
      <c r="U795" s="3">
        <f>IF(C795="","",IF(T795="",TODAY()-C795,T795-C795))</f>
        <v/>
      </c>
      <c r="V795" s="5" t="n"/>
      <c r="W795" s="6" t="n"/>
      <c r="X795" s="3">
        <f>IF(P795="","",IFERROR(VLOOKUP(P795,Parâmetros!$J$2:$K$5,2,FALSE),""))</f>
        <v/>
      </c>
      <c r="Y795" s="4">
        <f>IF(OR(C795="",X795=""),"",C795+X795)</f>
        <v/>
      </c>
      <c r="Z795" s="5">
        <f>IF(C795="","",IF(Q795="Concluído","Concluído",IF(Y795&lt;TODAY(),"Vencido",IF(Y795-TODAY()&lt;=2,"A vencer","No prazo"))))</f>
        <v/>
      </c>
      <c r="AA795" s="3">
        <f>IF(OR(Y795="",Q795="Concluído"),"",Y795-TODAY())</f>
        <v/>
      </c>
      <c r="AB795" s="5" t="n"/>
      <c r="AC795" s="5" t="n"/>
      <c r="AD795" s="4" t="n"/>
    </row>
    <row r="796">
      <c r="A796" s="3">
        <f>IF(C796="","",ROW()-1)</f>
        <v/>
      </c>
      <c r="B796" s="4" t="n"/>
      <c r="C796" s="4" t="n"/>
      <c r="D796" s="5" t="n"/>
      <c r="E796" s="5" t="n"/>
      <c r="F796" s="5" t="n"/>
      <c r="G796" s="5" t="n"/>
      <c r="H796" s="5" t="n"/>
      <c r="I796" s="5" t="n"/>
      <c r="J796" s="5" t="n"/>
      <c r="K796" s="6" t="n"/>
      <c r="L796" s="6" t="n"/>
      <c r="M796" s="6" t="n"/>
      <c r="N796" s="5" t="n"/>
      <c r="O796" s="21" t="n"/>
      <c r="P796" s="5" t="n"/>
      <c r="Q796" s="5" t="n"/>
      <c r="R796" s="6" t="n"/>
      <c r="S796" s="4" t="n"/>
      <c r="T796" s="4" t="n"/>
      <c r="U796" s="3">
        <f>IF(C796="","",IF(T796="",TODAY()-C796,T796-C796))</f>
        <v/>
      </c>
      <c r="V796" s="5" t="n"/>
      <c r="W796" s="6" t="n"/>
      <c r="X796" s="3">
        <f>IF(P796="","",IFERROR(VLOOKUP(P796,Parâmetros!$J$2:$K$5,2,FALSE),""))</f>
        <v/>
      </c>
      <c r="Y796" s="4">
        <f>IF(OR(C796="",X796=""),"",C796+X796)</f>
        <v/>
      </c>
      <c r="Z796" s="5">
        <f>IF(C796="","",IF(Q796="Concluído","Concluído",IF(Y796&lt;TODAY(),"Vencido",IF(Y796-TODAY()&lt;=2,"A vencer","No prazo"))))</f>
        <v/>
      </c>
      <c r="AA796" s="3">
        <f>IF(OR(Y796="",Q796="Concluído"),"",Y796-TODAY())</f>
        <v/>
      </c>
      <c r="AB796" s="5" t="n"/>
      <c r="AC796" s="5" t="n"/>
      <c r="AD796" s="4" t="n"/>
    </row>
    <row r="797">
      <c r="A797" s="3">
        <f>IF(C797="","",ROW()-1)</f>
        <v/>
      </c>
      <c r="B797" s="4" t="n"/>
      <c r="C797" s="4" t="n"/>
      <c r="D797" s="5" t="n"/>
      <c r="E797" s="5" t="n"/>
      <c r="F797" s="5" t="n"/>
      <c r="G797" s="5" t="n"/>
      <c r="H797" s="5" t="n"/>
      <c r="I797" s="5" t="n"/>
      <c r="J797" s="5" t="n"/>
      <c r="K797" s="6" t="n"/>
      <c r="L797" s="6" t="n"/>
      <c r="M797" s="6" t="n"/>
      <c r="N797" s="5" t="n"/>
      <c r="O797" s="21" t="n"/>
      <c r="P797" s="5" t="n"/>
      <c r="Q797" s="5" t="n"/>
      <c r="R797" s="6" t="n"/>
      <c r="S797" s="4" t="n"/>
      <c r="T797" s="4" t="n"/>
      <c r="U797" s="3">
        <f>IF(C797="","",IF(T797="",TODAY()-C797,T797-C797))</f>
        <v/>
      </c>
      <c r="V797" s="5" t="n"/>
      <c r="W797" s="6" t="n"/>
      <c r="X797" s="3">
        <f>IF(P797="","",IFERROR(VLOOKUP(P797,Parâmetros!$J$2:$K$5,2,FALSE),""))</f>
        <v/>
      </c>
      <c r="Y797" s="4">
        <f>IF(OR(C797="",X797=""),"",C797+X797)</f>
        <v/>
      </c>
      <c r="Z797" s="5">
        <f>IF(C797="","",IF(Q797="Concluído","Concluído",IF(Y797&lt;TODAY(),"Vencido",IF(Y797-TODAY()&lt;=2,"A vencer","No prazo"))))</f>
        <v/>
      </c>
      <c r="AA797" s="3">
        <f>IF(OR(Y797="",Q797="Concluído"),"",Y797-TODAY())</f>
        <v/>
      </c>
      <c r="AB797" s="5" t="n"/>
      <c r="AC797" s="5" t="n"/>
      <c r="AD797" s="4" t="n"/>
    </row>
    <row r="798">
      <c r="A798" s="3">
        <f>IF(C798="","",ROW()-1)</f>
        <v/>
      </c>
      <c r="B798" s="4" t="n"/>
      <c r="C798" s="4" t="n"/>
      <c r="D798" s="5" t="n"/>
      <c r="E798" s="5" t="n"/>
      <c r="F798" s="5" t="n"/>
      <c r="G798" s="5" t="n"/>
      <c r="H798" s="5" t="n"/>
      <c r="I798" s="5" t="n"/>
      <c r="J798" s="5" t="n"/>
      <c r="K798" s="6" t="n"/>
      <c r="L798" s="6" t="n"/>
      <c r="M798" s="6" t="n"/>
      <c r="N798" s="5" t="n"/>
      <c r="O798" s="21" t="n"/>
      <c r="P798" s="5" t="n"/>
      <c r="Q798" s="5" t="n"/>
      <c r="R798" s="6" t="n"/>
      <c r="S798" s="4" t="n"/>
      <c r="T798" s="4" t="n"/>
      <c r="U798" s="3">
        <f>IF(C798="","",IF(T798="",TODAY()-C798,T798-C798))</f>
        <v/>
      </c>
      <c r="V798" s="5" t="n"/>
      <c r="W798" s="6" t="n"/>
      <c r="X798" s="3">
        <f>IF(P798="","",IFERROR(VLOOKUP(P798,Parâmetros!$J$2:$K$5,2,FALSE),""))</f>
        <v/>
      </c>
      <c r="Y798" s="4">
        <f>IF(OR(C798="",X798=""),"",C798+X798)</f>
        <v/>
      </c>
      <c r="Z798" s="5">
        <f>IF(C798="","",IF(Q798="Concluído","Concluído",IF(Y798&lt;TODAY(),"Vencido",IF(Y798-TODAY()&lt;=2,"A vencer","No prazo"))))</f>
        <v/>
      </c>
      <c r="AA798" s="3">
        <f>IF(OR(Y798="",Q798="Concluído"),"",Y798-TODAY())</f>
        <v/>
      </c>
      <c r="AB798" s="5" t="n"/>
      <c r="AC798" s="5" t="n"/>
      <c r="AD798" s="4" t="n"/>
    </row>
    <row r="799">
      <c r="A799" s="3">
        <f>IF(C799="","",ROW()-1)</f>
        <v/>
      </c>
      <c r="B799" s="4" t="n"/>
      <c r="C799" s="4" t="n"/>
      <c r="D799" s="5" t="n"/>
      <c r="E799" s="5" t="n"/>
      <c r="F799" s="5" t="n"/>
      <c r="G799" s="5" t="n"/>
      <c r="H799" s="5" t="n"/>
      <c r="I799" s="5" t="n"/>
      <c r="J799" s="5" t="n"/>
      <c r="K799" s="6" t="n"/>
      <c r="L799" s="6" t="n"/>
      <c r="M799" s="6" t="n"/>
      <c r="N799" s="5" t="n"/>
      <c r="O799" s="21" t="n"/>
      <c r="P799" s="5" t="n"/>
      <c r="Q799" s="5" t="n"/>
      <c r="R799" s="6" t="n"/>
      <c r="S799" s="4" t="n"/>
      <c r="T799" s="4" t="n"/>
      <c r="U799" s="3">
        <f>IF(C799="","",IF(T799="",TODAY()-C799,T799-C799))</f>
        <v/>
      </c>
      <c r="V799" s="5" t="n"/>
      <c r="W799" s="6" t="n"/>
      <c r="X799" s="3">
        <f>IF(P799="","",IFERROR(VLOOKUP(P799,Parâmetros!$J$2:$K$5,2,FALSE),""))</f>
        <v/>
      </c>
      <c r="Y799" s="4">
        <f>IF(OR(C799="",X799=""),"",C799+X799)</f>
        <v/>
      </c>
      <c r="Z799" s="5">
        <f>IF(C799="","",IF(Q799="Concluído","Concluído",IF(Y799&lt;TODAY(),"Vencido",IF(Y799-TODAY()&lt;=2,"A vencer","No prazo"))))</f>
        <v/>
      </c>
      <c r="AA799" s="3">
        <f>IF(OR(Y799="",Q799="Concluído"),"",Y799-TODAY())</f>
        <v/>
      </c>
      <c r="AB799" s="5" t="n"/>
      <c r="AC799" s="5" t="n"/>
      <c r="AD799" s="4" t="n"/>
    </row>
    <row r="800">
      <c r="A800" s="3">
        <f>IF(C800="","",ROW()-1)</f>
        <v/>
      </c>
      <c r="B800" s="4" t="n"/>
      <c r="C800" s="4" t="n"/>
      <c r="D800" s="5" t="n"/>
      <c r="E800" s="5" t="n"/>
      <c r="F800" s="5" t="n"/>
      <c r="G800" s="5" t="n"/>
      <c r="H800" s="5" t="n"/>
      <c r="I800" s="5" t="n"/>
      <c r="J800" s="5" t="n"/>
      <c r="K800" s="6" t="n"/>
      <c r="L800" s="6" t="n"/>
      <c r="M800" s="6" t="n"/>
      <c r="N800" s="5" t="n"/>
      <c r="O800" s="21" t="n"/>
      <c r="P800" s="5" t="n"/>
      <c r="Q800" s="5" t="n"/>
      <c r="R800" s="6" t="n"/>
      <c r="S800" s="4" t="n"/>
      <c r="T800" s="4" t="n"/>
      <c r="U800" s="3">
        <f>IF(C800="","",IF(T800="",TODAY()-C800,T800-C800))</f>
        <v/>
      </c>
      <c r="V800" s="5" t="n"/>
      <c r="W800" s="6" t="n"/>
      <c r="X800" s="3">
        <f>IF(P800="","",IFERROR(VLOOKUP(P800,Parâmetros!$J$2:$K$5,2,FALSE),""))</f>
        <v/>
      </c>
      <c r="Y800" s="4">
        <f>IF(OR(C800="",X800=""),"",C800+X800)</f>
        <v/>
      </c>
      <c r="Z800" s="5">
        <f>IF(C800="","",IF(Q800="Concluído","Concluído",IF(Y800&lt;TODAY(),"Vencido",IF(Y800-TODAY()&lt;=2,"A vencer","No prazo"))))</f>
        <v/>
      </c>
      <c r="AA800" s="3">
        <f>IF(OR(Y800="",Q800="Concluído"),"",Y800-TODAY())</f>
        <v/>
      </c>
      <c r="AB800" s="5" t="n"/>
      <c r="AC800" s="5" t="n"/>
      <c r="AD800" s="4" t="n"/>
    </row>
    <row r="801">
      <c r="A801" s="3">
        <f>IF(C801="","",ROW()-1)</f>
        <v/>
      </c>
      <c r="B801" s="4" t="n"/>
      <c r="C801" s="4" t="n"/>
      <c r="D801" s="5" t="n"/>
      <c r="E801" s="5" t="n"/>
      <c r="F801" s="5" t="n"/>
      <c r="G801" s="5" t="n"/>
      <c r="H801" s="5" t="n"/>
      <c r="I801" s="5" t="n"/>
      <c r="J801" s="5" t="n"/>
      <c r="K801" s="6" t="n"/>
      <c r="L801" s="6" t="n"/>
      <c r="M801" s="6" t="n"/>
      <c r="N801" s="5" t="n"/>
      <c r="O801" s="21" t="n"/>
      <c r="P801" s="5" t="n"/>
      <c r="Q801" s="5" t="n"/>
      <c r="R801" s="6" t="n"/>
      <c r="S801" s="4" t="n"/>
      <c r="T801" s="4" t="n"/>
      <c r="U801" s="3">
        <f>IF(C801="","",IF(T801="",TODAY()-C801,T801-C801))</f>
        <v/>
      </c>
      <c r="V801" s="5" t="n"/>
      <c r="W801" s="6" t="n"/>
      <c r="X801" s="3">
        <f>IF(P801="","",IFERROR(VLOOKUP(P801,Parâmetros!$J$2:$K$5,2,FALSE),""))</f>
        <v/>
      </c>
      <c r="Y801" s="4">
        <f>IF(OR(C801="",X801=""),"",C801+X801)</f>
        <v/>
      </c>
      <c r="Z801" s="5">
        <f>IF(C801="","",IF(Q801="Concluído","Concluído",IF(Y801&lt;TODAY(),"Vencido",IF(Y801-TODAY()&lt;=2,"A vencer","No prazo"))))</f>
        <v/>
      </c>
      <c r="AA801" s="3">
        <f>IF(OR(Y801="",Q801="Concluído"),"",Y801-TODAY())</f>
        <v/>
      </c>
      <c r="AB801" s="5" t="n"/>
      <c r="AC801" s="5" t="n"/>
      <c r="AD801" s="4" t="n"/>
    </row>
    <row r="802">
      <c r="A802" s="3">
        <f>IF(C802="","",ROW()-1)</f>
        <v/>
      </c>
      <c r="B802" s="4" t="n"/>
      <c r="C802" s="4" t="n"/>
      <c r="D802" s="5" t="n"/>
      <c r="E802" s="5" t="n"/>
      <c r="F802" s="5" t="n"/>
      <c r="G802" s="5" t="n"/>
      <c r="H802" s="5" t="n"/>
      <c r="I802" s="5" t="n"/>
      <c r="J802" s="5" t="n"/>
      <c r="K802" s="6" t="n"/>
      <c r="L802" s="6" t="n"/>
      <c r="M802" s="6" t="n"/>
      <c r="N802" s="5" t="n"/>
      <c r="O802" s="21" t="n"/>
      <c r="P802" s="5" t="n"/>
      <c r="Q802" s="5" t="n"/>
      <c r="R802" s="6" t="n"/>
      <c r="S802" s="4" t="n"/>
      <c r="T802" s="4" t="n"/>
      <c r="U802" s="3">
        <f>IF(C802="","",IF(T802="",TODAY()-C802,T802-C802))</f>
        <v/>
      </c>
      <c r="V802" s="5" t="n"/>
      <c r="W802" s="6" t="n"/>
      <c r="X802" s="3">
        <f>IF(P802="","",IFERROR(VLOOKUP(P802,Parâmetros!$J$2:$K$5,2,FALSE),""))</f>
        <v/>
      </c>
      <c r="Y802" s="4">
        <f>IF(OR(C802="",X802=""),"",C802+X802)</f>
        <v/>
      </c>
      <c r="Z802" s="5">
        <f>IF(C802="","",IF(Q802="Concluído","Concluído",IF(Y802&lt;TODAY(),"Vencido",IF(Y802-TODAY()&lt;=2,"A vencer","No prazo"))))</f>
        <v/>
      </c>
      <c r="AA802" s="3">
        <f>IF(OR(Y802="",Q802="Concluído"),"",Y802-TODAY())</f>
        <v/>
      </c>
      <c r="AB802" s="5" t="n"/>
      <c r="AC802" s="5" t="n"/>
      <c r="AD802" s="4" t="n"/>
    </row>
    <row r="803">
      <c r="A803" s="3">
        <f>IF(C803="","",ROW()-1)</f>
        <v/>
      </c>
      <c r="B803" s="4" t="n"/>
      <c r="C803" s="4" t="n"/>
      <c r="D803" s="5" t="n"/>
      <c r="E803" s="5" t="n"/>
      <c r="F803" s="5" t="n"/>
      <c r="G803" s="5" t="n"/>
      <c r="H803" s="5" t="n"/>
      <c r="I803" s="5" t="n"/>
      <c r="J803" s="5" t="n"/>
      <c r="K803" s="6" t="n"/>
      <c r="L803" s="6" t="n"/>
      <c r="M803" s="6" t="n"/>
      <c r="N803" s="5" t="n"/>
      <c r="O803" s="21" t="n"/>
      <c r="P803" s="5" t="n"/>
      <c r="Q803" s="5" t="n"/>
      <c r="R803" s="6" t="n"/>
      <c r="S803" s="4" t="n"/>
      <c r="T803" s="4" t="n"/>
      <c r="U803" s="3">
        <f>IF(C803="","",IF(T803="",TODAY()-C803,T803-C803))</f>
        <v/>
      </c>
      <c r="V803" s="5" t="n"/>
      <c r="W803" s="6" t="n"/>
      <c r="X803" s="3">
        <f>IF(P803="","",IFERROR(VLOOKUP(P803,Parâmetros!$J$2:$K$5,2,FALSE),""))</f>
        <v/>
      </c>
      <c r="Y803" s="4">
        <f>IF(OR(C803="",X803=""),"",C803+X803)</f>
        <v/>
      </c>
      <c r="Z803" s="5">
        <f>IF(C803="","",IF(Q803="Concluído","Concluído",IF(Y803&lt;TODAY(),"Vencido",IF(Y803-TODAY()&lt;=2,"A vencer","No prazo"))))</f>
        <v/>
      </c>
      <c r="AA803" s="3">
        <f>IF(OR(Y803="",Q803="Concluído"),"",Y803-TODAY())</f>
        <v/>
      </c>
      <c r="AB803" s="5" t="n"/>
      <c r="AC803" s="5" t="n"/>
      <c r="AD803" s="4" t="n"/>
    </row>
    <row r="804">
      <c r="A804" s="3">
        <f>IF(C804="","",ROW()-1)</f>
        <v/>
      </c>
      <c r="B804" s="4" t="n"/>
      <c r="C804" s="4" t="n"/>
      <c r="D804" s="5" t="n"/>
      <c r="E804" s="5" t="n"/>
      <c r="F804" s="5" t="n"/>
      <c r="G804" s="5" t="n"/>
      <c r="H804" s="5" t="n"/>
      <c r="I804" s="5" t="n"/>
      <c r="J804" s="5" t="n"/>
      <c r="K804" s="6" t="n"/>
      <c r="L804" s="6" t="n"/>
      <c r="M804" s="6" t="n"/>
      <c r="N804" s="5" t="n"/>
      <c r="O804" s="21" t="n"/>
      <c r="P804" s="5" t="n"/>
      <c r="Q804" s="5" t="n"/>
      <c r="R804" s="6" t="n"/>
      <c r="S804" s="4" t="n"/>
      <c r="T804" s="4" t="n"/>
      <c r="U804" s="3">
        <f>IF(C804="","",IF(T804="",TODAY()-C804,T804-C804))</f>
        <v/>
      </c>
      <c r="V804" s="5" t="n"/>
      <c r="W804" s="6" t="n"/>
      <c r="X804" s="3">
        <f>IF(P804="","",IFERROR(VLOOKUP(P804,Parâmetros!$J$2:$K$5,2,FALSE),""))</f>
        <v/>
      </c>
      <c r="Y804" s="4">
        <f>IF(OR(C804="",X804=""),"",C804+X804)</f>
        <v/>
      </c>
      <c r="Z804" s="5">
        <f>IF(C804="","",IF(Q804="Concluído","Concluído",IF(Y804&lt;TODAY(),"Vencido",IF(Y804-TODAY()&lt;=2,"A vencer","No prazo"))))</f>
        <v/>
      </c>
      <c r="AA804" s="3">
        <f>IF(OR(Y804="",Q804="Concluído"),"",Y804-TODAY())</f>
        <v/>
      </c>
      <c r="AB804" s="5" t="n"/>
      <c r="AC804" s="5" t="n"/>
      <c r="AD804" s="4" t="n"/>
    </row>
    <row r="805">
      <c r="A805" s="3">
        <f>IF(C805="","",ROW()-1)</f>
        <v/>
      </c>
      <c r="B805" s="4" t="n"/>
      <c r="C805" s="4" t="n"/>
      <c r="D805" s="5" t="n"/>
      <c r="E805" s="5" t="n"/>
      <c r="F805" s="5" t="n"/>
      <c r="G805" s="5" t="n"/>
      <c r="H805" s="5" t="n"/>
      <c r="I805" s="5" t="n"/>
      <c r="J805" s="5" t="n"/>
      <c r="K805" s="6" t="n"/>
      <c r="L805" s="6" t="n"/>
      <c r="M805" s="6" t="n"/>
      <c r="N805" s="5" t="n"/>
      <c r="O805" s="21" t="n"/>
      <c r="P805" s="5" t="n"/>
      <c r="Q805" s="5" t="n"/>
      <c r="R805" s="6" t="n"/>
      <c r="S805" s="4" t="n"/>
      <c r="T805" s="4" t="n"/>
      <c r="U805" s="3">
        <f>IF(C805="","",IF(T805="",TODAY()-C805,T805-C805))</f>
        <v/>
      </c>
      <c r="V805" s="5" t="n"/>
      <c r="W805" s="6" t="n"/>
      <c r="X805" s="3">
        <f>IF(P805="","",IFERROR(VLOOKUP(P805,Parâmetros!$J$2:$K$5,2,FALSE),""))</f>
        <v/>
      </c>
      <c r="Y805" s="4">
        <f>IF(OR(C805="",X805=""),"",C805+X805)</f>
        <v/>
      </c>
      <c r="Z805" s="5">
        <f>IF(C805="","",IF(Q805="Concluído","Concluído",IF(Y805&lt;TODAY(),"Vencido",IF(Y805-TODAY()&lt;=2,"A vencer","No prazo"))))</f>
        <v/>
      </c>
      <c r="AA805" s="3">
        <f>IF(OR(Y805="",Q805="Concluído"),"",Y805-TODAY())</f>
        <v/>
      </c>
      <c r="AB805" s="5" t="n"/>
      <c r="AC805" s="5" t="n"/>
      <c r="AD805" s="4" t="n"/>
    </row>
    <row r="806">
      <c r="A806" s="3">
        <f>IF(C806="","",ROW()-1)</f>
        <v/>
      </c>
      <c r="B806" s="4" t="n"/>
      <c r="C806" s="4" t="n"/>
      <c r="D806" s="5" t="n"/>
      <c r="E806" s="5" t="n"/>
      <c r="F806" s="5" t="n"/>
      <c r="G806" s="5" t="n"/>
      <c r="H806" s="5" t="n"/>
      <c r="I806" s="5" t="n"/>
      <c r="J806" s="5" t="n"/>
      <c r="K806" s="6" t="n"/>
      <c r="L806" s="6" t="n"/>
      <c r="M806" s="6" t="n"/>
      <c r="N806" s="5" t="n"/>
      <c r="O806" s="21" t="n"/>
      <c r="P806" s="5" t="n"/>
      <c r="Q806" s="5" t="n"/>
      <c r="R806" s="6" t="n"/>
      <c r="S806" s="4" t="n"/>
      <c r="T806" s="4" t="n"/>
      <c r="U806" s="3">
        <f>IF(C806="","",IF(T806="",TODAY()-C806,T806-C806))</f>
        <v/>
      </c>
      <c r="V806" s="5" t="n"/>
      <c r="W806" s="6" t="n"/>
      <c r="X806" s="3">
        <f>IF(P806="","",IFERROR(VLOOKUP(P806,Parâmetros!$J$2:$K$5,2,FALSE),""))</f>
        <v/>
      </c>
      <c r="Y806" s="4">
        <f>IF(OR(C806="",X806=""),"",C806+X806)</f>
        <v/>
      </c>
      <c r="Z806" s="5">
        <f>IF(C806="","",IF(Q806="Concluído","Concluído",IF(Y806&lt;TODAY(),"Vencido",IF(Y806-TODAY()&lt;=2,"A vencer","No prazo"))))</f>
        <v/>
      </c>
      <c r="AA806" s="3">
        <f>IF(OR(Y806="",Q806="Concluído"),"",Y806-TODAY())</f>
        <v/>
      </c>
      <c r="AB806" s="5" t="n"/>
      <c r="AC806" s="5" t="n"/>
      <c r="AD806" s="4" t="n"/>
    </row>
    <row r="807">
      <c r="A807" s="3">
        <f>IF(C807="","",ROW()-1)</f>
        <v/>
      </c>
      <c r="B807" s="4" t="n"/>
      <c r="C807" s="4" t="n"/>
      <c r="D807" s="5" t="n"/>
      <c r="E807" s="5" t="n"/>
      <c r="F807" s="5" t="n"/>
      <c r="G807" s="5" t="n"/>
      <c r="H807" s="5" t="n"/>
      <c r="I807" s="5" t="n"/>
      <c r="J807" s="5" t="n"/>
      <c r="K807" s="6" t="n"/>
      <c r="L807" s="6" t="n"/>
      <c r="M807" s="6" t="n"/>
      <c r="N807" s="5" t="n"/>
      <c r="O807" s="21" t="n"/>
      <c r="P807" s="5" t="n"/>
      <c r="Q807" s="5" t="n"/>
      <c r="R807" s="6" t="n"/>
      <c r="S807" s="4" t="n"/>
      <c r="T807" s="4" t="n"/>
      <c r="U807" s="3">
        <f>IF(C807="","",IF(T807="",TODAY()-C807,T807-C807))</f>
        <v/>
      </c>
      <c r="V807" s="5" t="n"/>
      <c r="W807" s="6" t="n"/>
      <c r="X807" s="3">
        <f>IF(P807="","",IFERROR(VLOOKUP(P807,Parâmetros!$J$2:$K$5,2,FALSE),""))</f>
        <v/>
      </c>
      <c r="Y807" s="4">
        <f>IF(OR(C807="",X807=""),"",C807+X807)</f>
        <v/>
      </c>
      <c r="Z807" s="5">
        <f>IF(C807="","",IF(Q807="Concluído","Concluído",IF(Y807&lt;TODAY(),"Vencido",IF(Y807-TODAY()&lt;=2,"A vencer","No prazo"))))</f>
        <v/>
      </c>
      <c r="AA807" s="3">
        <f>IF(OR(Y807="",Q807="Concluído"),"",Y807-TODAY())</f>
        <v/>
      </c>
      <c r="AB807" s="5" t="n"/>
      <c r="AC807" s="5" t="n"/>
      <c r="AD807" s="4" t="n"/>
    </row>
    <row r="808">
      <c r="A808" s="3">
        <f>IF(C808="","",ROW()-1)</f>
        <v/>
      </c>
      <c r="B808" s="4" t="n"/>
      <c r="C808" s="4" t="n"/>
      <c r="D808" s="5" t="n"/>
      <c r="E808" s="5" t="n"/>
      <c r="F808" s="5" t="n"/>
      <c r="G808" s="5" t="n"/>
      <c r="H808" s="5" t="n"/>
      <c r="I808" s="5" t="n"/>
      <c r="J808" s="5" t="n"/>
      <c r="K808" s="6" t="n"/>
      <c r="L808" s="6" t="n"/>
      <c r="M808" s="6" t="n"/>
      <c r="N808" s="5" t="n"/>
      <c r="O808" s="21" t="n"/>
      <c r="P808" s="5" t="n"/>
      <c r="Q808" s="5" t="n"/>
      <c r="R808" s="6" t="n"/>
      <c r="S808" s="4" t="n"/>
      <c r="T808" s="4" t="n"/>
      <c r="U808" s="3">
        <f>IF(C808="","",IF(T808="",TODAY()-C808,T808-C808))</f>
        <v/>
      </c>
      <c r="V808" s="5" t="n"/>
      <c r="W808" s="6" t="n"/>
      <c r="X808" s="3">
        <f>IF(P808="","",IFERROR(VLOOKUP(P808,Parâmetros!$J$2:$K$5,2,FALSE),""))</f>
        <v/>
      </c>
      <c r="Y808" s="4">
        <f>IF(OR(C808="",X808=""),"",C808+X808)</f>
        <v/>
      </c>
      <c r="Z808" s="5">
        <f>IF(C808="","",IF(Q808="Concluído","Concluído",IF(Y808&lt;TODAY(),"Vencido",IF(Y808-TODAY()&lt;=2,"A vencer","No prazo"))))</f>
        <v/>
      </c>
      <c r="AA808" s="3">
        <f>IF(OR(Y808="",Q808="Concluído"),"",Y808-TODAY())</f>
        <v/>
      </c>
      <c r="AB808" s="5" t="n"/>
      <c r="AC808" s="5" t="n"/>
      <c r="AD808" s="4" t="n"/>
    </row>
    <row r="809">
      <c r="A809" s="3">
        <f>IF(C809="","",ROW()-1)</f>
        <v/>
      </c>
      <c r="B809" s="4" t="n"/>
      <c r="C809" s="4" t="n"/>
      <c r="D809" s="5" t="n"/>
      <c r="E809" s="5" t="n"/>
      <c r="F809" s="5" t="n"/>
      <c r="G809" s="5" t="n"/>
      <c r="H809" s="5" t="n"/>
      <c r="I809" s="5" t="n"/>
      <c r="J809" s="5" t="n"/>
      <c r="K809" s="6" t="n"/>
      <c r="L809" s="6" t="n"/>
      <c r="M809" s="6" t="n"/>
      <c r="N809" s="5" t="n"/>
      <c r="O809" s="21" t="n"/>
      <c r="P809" s="5" t="n"/>
      <c r="Q809" s="5" t="n"/>
      <c r="R809" s="6" t="n"/>
      <c r="S809" s="4" t="n"/>
      <c r="T809" s="4" t="n"/>
      <c r="U809" s="3">
        <f>IF(C809="","",IF(T809="",TODAY()-C809,T809-C809))</f>
        <v/>
      </c>
      <c r="V809" s="5" t="n"/>
      <c r="W809" s="6" t="n"/>
      <c r="X809" s="3">
        <f>IF(P809="","",IFERROR(VLOOKUP(P809,Parâmetros!$J$2:$K$5,2,FALSE),""))</f>
        <v/>
      </c>
      <c r="Y809" s="4">
        <f>IF(OR(C809="",X809=""),"",C809+X809)</f>
        <v/>
      </c>
      <c r="Z809" s="5">
        <f>IF(C809="","",IF(Q809="Concluído","Concluído",IF(Y809&lt;TODAY(),"Vencido",IF(Y809-TODAY()&lt;=2,"A vencer","No prazo"))))</f>
        <v/>
      </c>
      <c r="AA809" s="3">
        <f>IF(OR(Y809="",Q809="Concluído"),"",Y809-TODAY())</f>
        <v/>
      </c>
      <c r="AB809" s="5" t="n"/>
      <c r="AC809" s="5" t="n"/>
      <c r="AD809" s="4" t="n"/>
    </row>
    <row r="810">
      <c r="A810" s="3">
        <f>IF(C810="","",ROW()-1)</f>
        <v/>
      </c>
      <c r="B810" s="4" t="n"/>
      <c r="C810" s="4" t="n"/>
      <c r="D810" s="5" t="n"/>
      <c r="E810" s="5" t="n"/>
      <c r="F810" s="5" t="n"/>
      <c r="G810" s="5" t="n"/>
      <c r="H810" s="5" t="n"/>
      <c r="I810" s="5" t="n"/>
      <c r="J810" s="5" t="n"/>
      <c r="K810" s="6" t="n"/>
      <c r="L810" s="6" t="n"/>
      <c r="M810" s="6" t="n"/>
      <c r="N810" s="5" t="n"/>
      <c r="O810" s="21" t="n"/>
      <c r="P810" s="5" t="n"/>
      <c r="Q810" s="5" t="n"/>
      <c r="R810" s="6" t="n"/>
      <c r="S810" s="4" t="n"/>
      <c r="T810" s="4" t="n"/>
      <c r="U810" s="3">
        <f>IF(C810="","",IF(T810="",TODAY()-C810,T810-C810))</f>
        <v/>
      </c>
      <c r="V810" s="5" t="n"/>
      <c r="W810" s="6" t="n"/>
      <c r="X810" s="3">
        <f>IF(P810="","",IFERROR(VLOOKUP(P810,Parâmetros!$J$2:$K$5,2,FALSE),""))</f>
        <v/>
      </c>
      <c r="Y810" s="4">
        <f>IF(OR(C810="",X810=""),"",C810+X810)</f>
        <v/>
      </c>
      <c r="Z810" s="5">
        <f>IF(C810="","",IF(Q810="Concluído","Concluído",IF(Y810&lt;TODAY(),"Vencido",IF(Y810-TODAY()&lt;=2,"A vencer","No prazo"))))</f>
        <v/>
      </c>
      <c r="AA810" s="3">
        <f>IF(OR(Y810="",Q810="Concluído"),"",Y810-TODAY())</f>
        <v/>
      </c>
      <c r="AB810" s="5" t="n"/>
      <c r="AC810" s="5" t="n"/>
      <c r="AD810" s="4" t="n"/>
    </row>
    <row r="811">
      <c r="A811" s="3">
        <f>IF(C811="","",ROW()-1)</f>
        <v/>
      </c>
      <c r="B811" s="4" t="n"/>
      <c r="C811" s="4" t="n"/>
      <c r="D811" s="5" t="n"/>
      <c r="E811" s="5" t="n"/>
      <c r="F811" s="5" t="n"/>
      <c r="G811" s="5" t="n"/>
      <c r="H811" s="5" t="n"/>
      <c r="I811" s="5" t="n"/>
      <c r="J811" s="5" t="n"/>
      <c r="K811" s="6" t="n"/>
      <c r="L811" s="6" t="n"/>
      <c r="M811" s="6" t="n"/>
      <c r="N811" s="5" t="n"/>
      <c r="O811" s="21" t="n"/>
      <c r="P811" s="5" t="n"/>
      <c r="Q811" s="5" t="n"/>
      <c r="R811" s="6" t="n"/>
      <c r="S811" s="4" t="n"/>
      <c r="T811" s="4" t="n"/>
      <c r="U811" s="3">
        <f>IF(C811="","",IF(T811="",TODAY()-C811,T811-C811))</f>
        <v/>
      </c>
      <c r="V811" s="5" t="n"/>
      <c r="W811" s="6" t="n"/>
      <c r="X811" s="3">
        <f>IF(P811="","",IFERROR(VLOOKUP(P811,Parâmetros!$J$2:$K$5,2,FALSE),""))</f>
        <v/>
      </c>
      <c r="Y811" s="4">
        <f>IF(OR(C811="",X811=""),"",C811+X811)</f>
        <v/>
      </c>
      <c r="Z811" s="5">
        <f>IF(C811="","",IF(Q811="Concluído","Concluído",IF(Y811&lt;TODAY(),"Vencido",IF(Y811-TODAY()&lt;=2,"A vencer","No prazo"))))</f>
        <v/>
      </c>
      <c r="AA811" s="3">
        <f>IF(OR(Y811="",Q811="Concluído"),"",Y811-TODAY())</f>
        <v/>
      </c>
      <c r="AB811" s="5" t="n"/>
      <c r="AC811" s="5" t="n"/>
      <c r="AD811" s="4" t="n"/>
    </row>
    <row r="812">
      <c r="A812" s="3">
        <f>IF(C812="","",ROW()-1)</f>
        <v/>
      </c>
      <c r="B812" s="4" t="n"/>
      <c r="C812" s="4" t="n"/>
      <c r="D812" s="5" t="n"/>
      <c r="E812" s="5" t="n"/>
      <c r="F812" s="5" t="n"/>
      <c r="G812" s="5" t="n"/>
      <c r="H812" s="5" t="n"/>
      <c r="I812" s="5" t="n"/>
      <c r="J812" s="5" t="n"/>
      <c r="K812" s="6" t="n"/>
      <c r="L812" s="6" t="n"/>
      <c r="M812" s="6" t="n"/>
      <c r="N812" s="5" t="n"/>
      <c r="O812" s="21" t="n"/>
      <c r="P812" s="5" t="n"/>
      <c r="Q812" s="5" t="n"/>
      <c r="R812" s="6" t="n"/>
      <c r="S812" s="4" t="n"/>
      <c r="T812" s="4" t="n"/>
      <c r="U812" s="3">
        <f>IF(C812="","",IF(T812="",TODAY()-C812,T812-C812))</f>
        <v/>
      </c>
      <c r="V812" s="5" t="n"/>
      <c r="W812" s="6" t="n"/>
      <c r="X812" s="3">
        <f>IF(P812="","",IFERROR(VLOOKUP(P812,Parâmetros!$J$2:$K$5,2,FALSE),""))</f>
        <v/>
      </c>
      <c r="Y812" s="4">
        <f>IF(OR(C812="",X812=""),"",C812+X812)</f>
        <v/>
      </c>
      <c r="Z812" s="5">
        <f>IF(C812="","",IF(Q812="Concluído","Concluído",IF(Y812&lt;TODAY(),"Vencido",IF(Y812-TODAY()&lt;=2,"A vencer","No prazo"))))</f>
        <v/>
      </c>
      <c r="AA812" s="3">
        <f>IF(OR(Y812="",Q812="Concluído"),"",Y812-TODAY())</f>
        <v/>
      </c>
      <c r="AB812" s="5" t="n"/>
      <c r="AC812" s="5" t="n"/>
      <c r="AD812" s="4" t="n"/>
    </row>
    <row r="813">
      <c r="A813" s="3">
        <f>IF(C813="","",ROW()-1)</f>
        <v/>
      </c>
      <c r="B813" s="4" t="n"/>
      <c r="C813" s="4" t="n"/>
      <c r="D813" s="5" t="n"/>
      <c r="E813" s="5" t="n"/>
      <c r="F813" s="5" t="n"/>
      <c r="G813" s="5" t="n"/>
      <c r="H813" s="5" t="n"/>
      <c r="I813" s="5" t="n"/>
      <c r="J813" s="5" t="n"/>
      <c r="K813" s="6" t="n"/>
      <c r="L813" s="6" t="n"/>
      <c r="M813" s="6" t="n"/>
      <c r="N813" s="5" t="n"/>
      <c r="O813" s="21" t="n"/>
      <c r="P813" s="5" t="n"/>
      <c r="Q813" s="5" t="n"/>
      <c r="R813" s="6" t="n"/>
      <c r="S813" s="4" t="n"/>
      <c r="T813" s="4" t="n"/>
      <c r="U813" s="3">
        <f>IF(C813="","",IF(T813="",TODAY()-C813,T813-C813))</f>
        <v/>
      </c>
      <c r="V813" s="5" t="n"/>
      <c r="W813" s="6" t="n"/>
      <c r="X813" s="3">
        <f>IF(P813="","",IFERROR(VLOOKUP(P813,Parâmetros!$J$2:$K$5,2,FALSE),""))</f>
        <v/>
      </c>
      <c r="Y813" s="4">
        <f>IF(OR(C813="",X813=""),"",C813+X813)</f>
        <v/>
      </c>
      <c r="Z813" s="5">
        <f>IF(C813="","",IF(Q813="Concluído","Concluído",IF(Y813&lt;TODAY(),"Vencido",IF(Y813-TODAY()&lt;=2,"A vencer","No prazo"))))</f>
        <v/>
      </c>
      <c r="AA813" s="3">
        <f>IF(OR(Y813="",Q813="Concluído"),"",Y813-TODAY())</f>
        <v/>
      </c>
      <c r="AB813" s="5" t="n"/>
      <c r="AC813" s="5" t="n"/>
      <c r="AD813" s="4" t="n"/>
    </row>
    <row r="814">
      <c r="A814" s="3">
        <f>IF(C814="","",ROW()-1)</f>
        <v/>
      </c>
      <c r="B814" s="4" t="n"/>
      <c r="C814" s="4" t="n"/>
      <c r="D814" s="5" t="n"/>
      <c r="E814" s="5" t="n"/>
      <c r="F814" s="5" t="n"/>
      <c r="G814" s="5" t="n"/>
      <c r="H814" s="5" t="n"/>
      <c r="I814" s="5" t="n"/>
      <c r="J814" s="5" t="n"/>
      <c r="K814" s="6" t="n"/>
      <c r="L814" s="6" t="n"/>
      <c r="M814" s="6" t="n"/>
      <c r="N814" s="5" t="n"/>
      <c r="O814" s="21" t="n"/>
      <c r="P814" s="5" t="n"/>
      <c r="Q814" s="5" t="n"/>
      <c r="R814" s="6" t="n"/>
      <c r="S814" s="4" t="n"/>
      <c r="T814" s="4" t="n"/>
      <c r="U814" s="3">
        <f>IF(C814="","",IF(T814="",TODAY()-C814,T814-C814))</f>
        <v/>
      </c>
      <c r="V814" s="5" t="n"/>
      <c r="W814" s="6" t="n"/>
      <c r="X814" s="3">
        <f>IF(P814="","",IFERROR(VLOOKUP(P814,Parâmetros!$J$2:$K$5,2,FALSE),""))</f>
        <v/>
      </c>
      <c r="Y814" s="4">
        <f>IF(OR(C814="",X814=""),"",C814+X814)</f>
        <v/>
      </c>
      <c r="Z814" s="5">
        <f>IF(C814="","",IF(Q814="Concluído","Concluído",IF(Y814&lt;TODAY(),"Vencido",IF(Y814-TODAY()&lt;=2,"A vencer","No prazo"))))</f>
        <v/>
      </c>
      <c r="AA814" s="3">
        <f>IF(OR(Y814="",Q814="Concluído"),"",Y814-TODAY())</f>
        <v/>
      </c>
      <c r="AB814" s="5" t="n"/>
      <c r="AC814" s="5" t="n"/>
      <c r="AD814" s="4" t="n"/>
    </row>
    <row r="815">
      <c r="A815" s="3">
        <f>IF(C815="","",ROW()-1)</f>
        <v/>
      </c>
      <c r="B815" s="4" t="n"/>
      <c r="C815" s="4" t="n"/>
      <c r="D815" s="5" t="n"/>
      <c r="E815" s="5" t="n"/>
      <c r="F815" s="5" t="n"/>
      <c r="G815" s="5" t="n"/>
      <c r="H815" s="5" t="n"/>
      <c r="I815" s="5" t="n"/>
      <c r="J815" s="5" t="n"/>
      <c r="K815" s="6" t="n"/>
      <c r="L815" s="6" t="n"/>
      <c r="M815" s="6" t="n"/>
      <c r="N815" s="5" t="n"/>
      <c r="O815" s="21" t="n"/>
      <c r="P815" s="5" t="n"/>
      <c r="Q815" s="5" t="n"/>
      <c r="R815" s="6" t="n"/>
      <c r="S815" s="4" t="n"/>
      <c r="T815" s="4" t="n"/>
      <c r="U815" s="3">
        <f>IF(C815="","",IF(T815="",TODAY()-C815,T815-C815))</f>
        <v/>
      </c>
      <c r="V815" s="5" t="n"/>
      <c r="W815" s="6" t="n"/>
      <c r="X815" s="3">
        <f>IF(P815="","",IFERROR(VLOOKUP(P815,Parâmetros!$J$2:$K$5,2,FALSE),""))</f>
        <v/>
      </c>
      <c r="Y815" s="4">
        <f>IF(OR(C815="",X815=""),"",C815+X815)</f>
        <v/>
      </c>
      <c r="Z815" s="5">
        <f>IF(C815="","",IF(Q815="Concluído","Concluído",IF(Y815&lt;TODAY(),"Vencido",IF(Y815-TODAY()&lt;=2,"A vencer","No prazo"))))</f>
        <v/>
      </c>
      <c r="AA815" s="3">
        <f>IF(OR(Y815="",Q815="Concluído"),"",Y815-TODAY())</f>
        <v/>
      </c>
      <c r="AB815" s="5" t="n"/>
      <c r="AC815" s="5" t="n"/>
      <c r="AD815" s="4" t="n"/>
    </row>
    <row r="816">
      <c r="A816" s="3">
        <f>IF(C816="","",ROW()-1)</f>
        <v/>
      </c>
      <c r="B816" s="4" t="n"/>
      <c r="C816" s="4" t="n"/>
      <c r="D816" s="5" t="n"/>
      <c r="E816" s="5" t="n"/>
      <c r="F816" s="5" t="n"/>
      <c r="G816" s="5" t="n"/>
      <c r="H816" s="5" t="n"/>
      <c r="I816" s="5" t="n"/>
      <c r="J816" s="5" t="n"/>
      <c r="K816" s="6" t="n"/>
      <c r="L816" s="6" t="n"/>
      <c r="M816" s="6" t="n"/>
      <c r="N816" s="5" t="n"/>
      <c r="O816" s="21" t="n"/>
      <c r="P816" s="5" t="n"/>
      <c r="Q816" s="5" t="n"/>
      <c r="R816" s="6" t="n"/>
      <c r="S816" s="4" t="n"/>
      <c r="T816" s="4" t="n"/>
      <c r="U816" s="3">
        <f>IF(C816="","",IF(T816="",TODAY()-C816,T816-C816))</f>
        <v/>
      </c>
      <c r="V816" s="5" t="n"/>
      <c r="W816" s="6" t="n"/>
      <c r="X816" s="3">
        <f>IF(P816="","",IFERROR(VLOOKUP(P816,Parâmetros!$J$2:$K$5,2,FALSE),""))</f>
        <v/>
      </c>
      <c r="Y816" s="4">
        <f>IF(OR(C816="",X816=""),"",C816+X816)</f>
        <v/>
      </c>
      <c r="Z816" s="5">
        <f>IF(C816="","",IF(Q816="Concluído","Concluído",IF(Y816&lt;TODAY(),"Vencido",IF(Y816-TODAY()&lt;=2,"A vencer","No prazo"))))</f>
        <v/>
      </c>
      <c r="AA816" s="3">
        <f>IF(OR(Y816="",Q816="Concluído"),"",Y816-TODAY())</f>
        <v/>
      </c>
      <c r="AB816" s="5" t="n"/>
      <c r="AC816" s="5" t="n"/>
      <c r="AD816" s="4" t="n"/>
    </row>
    <row r="817">
      <c r="A817" s="3">
        <f>IF(C817="","",ROW()-1)</f>
        <v/>
      </c>
      <c r="B817" s="4" t="n"/>
      <c r="C817" s="4" t="n"/>
      <c r="D817" s="5" t="n"/>
      <c r="E817" s="5" t="n"/>
      <c r="F817" s="5" t="n"/>
      <c r="G817" s="5" t="n"/>
      <c r="H817" s="5" t="n"/>
      <c r="I817" s="5" t="n"/>
      <c r="J817" s="5" t="n"/>
      <c r="K817" s="6" t="n"/>
      <c r="L817" s="6" t="n"/>
      <c r="M817" s="6" t="n"/>
      <c r="N817" s="5" t="n"/>
      <c r="O817" s="21" t="n"/>
      <c r="P817" s="5" t="n"/>
      <c r="Q817" s="5" t="n"/>
      <c r="R817" s="6" t="n"/>
      <c r="S817" s="4" t="n"/>
      <c r="T817" s="4" t="n"/>
      <c r="U817" s="3">
        <f>IF(C817="","",IF(T817="",TODAY()-C817,T817-C817))</f>
        <v/>
      </c>
      <c r="V817" s="5" t="n"/>
      <c r="W817" s="6" t="n"/>
      <c r="X817" s="3">
        <f>IF(P817="","",IFERROR(VLOOKUP(P817,Parâmetros!$J$2:$K$5,2,FALSE),""))</f>
        <v/>
      </c>
      <c r="Y817" s="4">
        <f>IF(OR(C817="",X817=""),"",C817+X817)</f>
        <v/>
      </c>
      <c r="Z817" s="5">
        <f>IF(C817="","",IF(Q817="Concluído","Concluído",IF(Y817&lt;TODAY(),"Vencido",IF(Y817-TODAY()&lt;=2,"A vencer","No prazo"))))</f>
        <v/>
      </c>
      <c r="AA817" s="3">
        <f>IF(OR(Y817="",Q817="Concluído"),"",Y817-TODAY())</f>
        <v/>
      </c>
      <c r="AB817" s="5" t="n"/>
      <c r="AC817" s="5" t="n"/>
      <c r="AD817" s="4" t="n"/>
    </row>
    <row r="818">
      <c r="A818" s="3">
        <f>IF(C818="","",ROW()-1)</f>
        <v/>
      </c>
      <c r="B818" s="4" t="n"/>
      <c r="C818" s="4" t="n"/>
      <c r="D818" s="5" t="n"/>
      <c r="E818" s="5" t="n"/>
      <c r="F818" s="5" t="n"/>
      <c r="G818" s="5" t="n"/>
      <c r="H818" s="5" t="n"/>
      <c r="I818" s="5" t="n"/>
      <c r="J818" s="5" t="n"/>
      <c r="K818" s="6" t="n"/>
      <c r="L818" s="6" t="n"/>
      <c r="M818" s="6" t="n"/>
      <c r="N818" s="5" t="n"/>
      <c r="O818" s="21" t="n"/>
      <c r="P818" s="5" t="n"/>
      <c r="Q818" s="5" t="n"/>
      <c r="R818" s="6" t="n"/>
      <c r="S818" s="4" t="n"/>
      <c r="T818" s="4" t="n"/>
      <c r="U818" s="3">
        <f>IF(C818="","",IF(T818="",TODAY()-C818,T818-C818))</f>
        <v/>
      </c>
      <c r="V818" s="5" t="n"/>
      <c r="W818" s="6" t="n"/>
      <c r="X818" s="3">
        <f>IF(P818="","",IFERROR(VLOOKUP(P818,Parâmetros!$J$2:$K$5,2,FALSE),""))</f>
        <v/>
      </c>
      <c r="Y818" s="4">
        <f>IF(OR(C818="",X818=""),"",C818+X818)</f>
        <v/>
      </c>
      <c r="Z818" s="5">
        <f>IF(C818="","",IF(Q818="Concluído","Concluído",IF(Y818&lt;TODAY(),"Vencido",IF(Y818-TODAY()&lt;=2,"A vencer","No prazo"))))</f>
        <v/>
      </c>
      <c r="AA818" s="3">
        <f>IF(OR(Y818="",Q818="Concluído"),"",Y818-TODAY())</f>
        <v/>
      </c>
      <c r="AB818" s="5" t="n"/>
      <c r="AC818" s="5" t="n"/>
      <c r="AD818" s="4" t="n"/>
    </row>
    <row r="819">
      <c r="A819" s="3">
        <f>IF(C819="","",ROW()-1)</f>
        <v/>
      </c>
      <c r="B819" s="4" t="n"/>
      <c r="C819" s="4" t="n"/>
      <c r="D819" s="5" t="n"/>
      <c r="E819" s="5" t="n"/>
      <c r="F819" s="5" t="n"/>
      <c r="G819" s="5" t="n"/>
      <c r="H819" s="5" t="n"/>
      <c r="I819" s="5" t="n"/>
      <c r="J819" s="5" t="n"/>
      <c r="K819" s="6" t="n"/>
      <c r="L819" s="6" t="n"/>
      <c r="M819" s="6" t="n"/>
      <c r="N819" s="5" t="n"/>
      <c r="O819" s="21" t="n"/>
      <c r="P819" s="5" t="n"/>
      <c r="Q819" s="5" t="n"/>
      <c r="R819" s="6" t="n"/>
      <c r="S819" s="4" t="n"/>
      <c r="T819" s="4" t="n"/>
      <c r="U819" s="3">
        <f>IF(C819="","",IF(T819="",TODAY()-C819,T819-C819))</f>
        <v/>
      </c>
      <c r="V819" s="5" t="n"/>
      <c r="W819" s="6" t="n"/>
      <c r="X819" s="3">
        <f>IF(P819="","",IFERROR(VLOOKUP(P819,Parâmetros!$J$2:$K$5,2,FALSE),""))</f>
        <v/>
      </c>
      <c r="Y819" s="4">
        <f>IF(OR(C819="",X819=""),"",C819+X819)</f>
        <v/>
      </c>
      <c r="Z819" s="5">
        <f>IF(C819="","",IF(Q819="Concluído","Concluído",IF(Y819&lt;TODAY(),"Vencido",IF(Y819-TODAY()&lt;=2,"A vencer","No prazo"))))</f>
        <v/>
      </c>
      <c r="AA819" s="3">
        <f>IF(OR(Y819="",Q819="Concluído"),"",Y819-TODAY())</f>
        <v/>
      </c>
      <c r="AB819" s="5" t="n"/>
      <c r="AC819" s="5" t="n"/>
      <c r="AD819" s="4" t="n"/>
    </row>
    <row r="820">
      <c r="A820" s="3">
        <f>IF(C820="","",ROW()-1)</f>
        <v/>
      </c>
      <c r="B820" s="4" t="n"/>
      <c r="C820" s="4" t="n"/>
      <c r="D820" s="5" t="n"/>
      <c r="E820" s="5" t="n"/>
      <c r="F820" s="5" t="n"/>
      <c r="G820" s="5" t="n"/>
      <c r="H820" s="5" t="n"/>
      <c r="I820" s="5" t="n"/>
      <c r="J820" s="5" t="n"/>
      <c r="K820" s="6" t="n"/>
      <c r="L820" s="6" t="n"/>
      <c r="M820" s="6" t="n"/>
      <c r="N820" s="5" t="n"/>
      <c r="O820" s="21" t="n"/>
      <c r="P820" s="5" t="n"/>
      <c r="Q820" s="5" t="n"/>
      <c r="R820" s="6" t="n"/>
      <c r="S820" s="4" t="n"/>
      <c r="T820" s="4" t="n"/>
      <c r="U820" s="3">
        <f>IF(C820="","",IF(T820="",TODAY()-C820,T820-C820))</f>
        <v/>
      </c>
      <c r="V820" s="5" t="n"/>
      <c r="W820" s="6" t="n"/>
      <c r="X820" s="3">
        <f>IF(P820="","",IFERROR(VLOOKUP(P820,Parâmetros!$J$2:$K$5,2,FALSE),""))</f>
        <v/>
      </c>
      <c r="Y820" s="4">
        <f>IF(OR(C820="",X820=""),"",C820+X820)</f>
        <v/>
      </c>
      <c r="Z820" s="5">
        <f>IF(C820="","",IF(Q820="Concluído","Concluído",IF(Y820&lt;TODAY(),"Vencido",IF(Y820-TODAY()&lt;=2,"A vencer","No prazo"))))</f>
        <v/>
      </c>
      <c r="AA820" s="3">
        <f>IF(OR(Y820="",Q820="Concluído"),"",Y820-TODAY())</f>
        <v/>
      </c>
      <c r="AB820" s="5" t="n"/>
      <c r="AC820" s="5" t="n"/>
      <c r="AD820" s="4" t="n"/>
    </row>
    <row r="821">
      <c r="A821" s="3">
        <f>IF(C821="","",ROW()-1)</f>
        <v/>
      </c>
      <c r="B821" s="4" t="n"/>
      <c r="C821" s="4" t="n"/>
      <c r="D821" s="5" t="n"/>
      <c r="E821" s="5" t="n"/>
      <c r="F821" s="5" t="n"/>
      <c r="G821" s="5" t="n"/>
      <c r="H821" s="5" t="n"/>
      <c r="I821" s="5" t="n"/>
      <c r="J821" s="5" t="n"/>
      <c r="K821" s="6" t="n"/>
      <c r="L821" s="6" t="n"/>
      <c r="M821" s="6" t="n"/>
      <c r="N821" s="5" t="n"/>
      <c r="O821" s="21" t="n"/>
      <c r="P821" s="5" t="n"/>
      <c r="Q821" s="5" t="n"/>
      <c r="R821" s="6" t="n"/>
      <c r="S821" s="4" t="n"/>
      <c r="T821" s="4" t="n"/>
      <c r="U821" s="3">
        <f>IF(C821="","",IF(T821="",TODAY()-C821,T821-C821))</f>
        <v/>
      </c>
      <c r="V821" s="5" t="n"/>
      <c r="W821" s="6" t="n"/>
      <c r="X821" s="3">
        <f>IF(P821="","",IFERROR(VLOOKUP(P821,Parâmetros!$J$2:$K$5,2,FALSE),""))</f>
        <v/>
      </c>
      <c r="Y821" s="4">
        <f>IF(OR(C821="",X821=""),"",C821+X821)</f>
        <v/>
      </c>
      <c r="Z821" s="5">
        <f>IF(C821="","",IF(Q821="Concluído","Concluído",IF(Y821&lt;TODAY(),"Vencido",IF(Y821-TODAY()&lt;=2,"A vencer","No prazo"))))</f>
        <v/>
      </c>
      <c r="AA821" s="3">
        <f>IF(OR(Y821="",Q821="Concluído"),"",Y821-TODAY())</f>
        <v/>
      </c>
      <c r="AB821" s="5" t="n"/>
      <c r="AC821" s="5" t="n"/>
      <c r="AD821" s="4" t="n"/>
    </row>
    <row r="822">
      <c r="A822" s="3">
        <f>IF(C822="","",ROW()-1)</f>
        <v/>
      </c>
      <c r="B822" s="4" t="n"/>
      <c r="C822" s="4" t="n"/>
      <c r="D822" s="5" t="n"/>
      <c r="E822" s="5" t="n"/>
      <c r="F822" s="5" t="n"/>
      <c r="G822" s="5" t="n"/>
      <c r="H822" s="5" t="n"/>
      <c r="I822" s="5" t="n"/>
      <c r="J822" s="5" t="n"/>
      <c r="K822" s="6" t="n"/>
      <c r="L822" s="6" t="n"/>
      <c r="M822" s="6" t="n"/>
      <c r="N822" s="5" t="n"/>
      <c r="O822" s="21" t="n"/>
      <c r="P822" s="5" t="n"/>
      <c r="Q822" s="5" t="n"/>
      <c r="R822" s="6" t="n"/>
      <c r="S822" s="4" t="n"/>
      <c r="T822" s="4" t="n"/>
      <c r="U822" s="3">
        <f>IF(C822="","",IF(T822="",TODAY()-C822,T822-C822))</f>
        <v/>
      </c>
      <c r="V822" s="5" t="n"/>
      <c r="W822" s="6" t="n"/>
      <c r="X822" s="3">
        <f>IF(P822="","",IFERROR(VLOOKUP(P822,Parâmetros!$J$2:$K$5,2,FALSE),""))</f>
        <v/>
      </c>
      <c r="Y822" s="4">
        <f>IF(OR(C822="",X822=""),"",C822+X822)</f>
        <v/>
      </c>
      <c r="Z822" s="5">
        <f>IF(C822="","",IF(Q822="Concluído","Concluído",IF(Y822&lt;TODAY(),"Vencido",IF(Y822-TODAY()&lt;=2,"A vencer","No prazo"))))</f>
        <v/>
      </c>
      <c r="AA822" s="3">
        <f>IF(OR(Y822="",Q822="Concluído"),"",Y822-TODAY())</f>
        <v/>
      </c>
      <c r="AB822" s="5" t="n"/>
      <c r="AC822" s="5" t="n"/>
      <c r="AD822" s="4" t="n"/>
    </row>
    <row r="823">
      <c r="A823" s="3">
        <f>IF(C823="","",ROW()-1)</f>
        <v/>
      </c>
      <c r="B823" s="4" t="n"/>
      <c r="C823" s="4" t="n"/>
      <c r="D823" s="5" t="n"/>
      <c r="E823" s="5" t="n"/>
      <c r="F823" s="5" t="n"/>
      <c r="G823" s="5" t="n"/>
      <c r="H823" s="5" t="n"/>
      <c r="I823" s="5" t="n"/>
      <c r="J823" s="5" t="n"/>
      <c r="K823" s="6" t="n"/>
      <c r="L823" s="6" t="n"/>
      <c r="M823" s="6" t="n"/>
      <c r="N823" s="5" t="n"/>
      <c r="O823" s="21" t="n"/>
      <c r="P823" s="5" t="n"/>
      <c r="Q823" s="5" t="n"/>
      <c r="R823" s="6" t="n"/>
      <c r="S823" s="4" t="n"/>
      <c r="T823" s="4" t="n"/>
      <c r="U823" s="3">
        <f>IF(C823="","",IF(T823="",TODAY()-C823,T823-C823))</f>
        <v/>
      </c>
      <c r="V823" s="5" t="n"/>
      <c r="W823" s="6" t="n"/>
      <c r="X823" s="3">
        <f>IF(P823="","",IFERROR(VLOOKUP(P823,Parâmetros!$J$2:$K$5,2,FALSE),""))</f>
        <v/>
      </c>
      <c r="Y823" s="4">
        <f>IF(OR(C823="",X823=""),"",C823+X823)</f>
        <v/>
      </c>
      <c r="Z823" s="5">
        <f>IF(C823="","",IF(Q823="Concluído","Concluído",IF(Y823&lt;TODAY(),"Vencido",IF(Y823-TODAY()&lt;=2,"A vencer","No prazo"))))</f>
        <v/>
      </c>
      <c r="AA823" s="3">
        <f>IF(OR(Y823="",Q823="Concluído"),"",Y823-TODAY())</f>
        <v/>
      </c>
      <c r="AB823" s="5" t="n"/>
      <c r="AC823" s="5" t="n"/>
      <c r="AD823" s="4" t="n"/>
    </row>
    <row r="824">
      <c r="A824" s="3">
        <f>IF(C824="","",ROW()-1)</f>
        <v/>
      </c>
      <c r="B824" s="4" t="n"/>
      <c r="C824" s="4" t="n"/>
      <c r="D824" s="5" t="n"/>
      <c r="E824" s="5" t="n"/>
      <c r="F824" s="5" t="n"/>
      <c r="G824" s="5" t="n"/>
      <c r="H824" s="5" t="n"/>
      <c r="I824" s="5" t="n"/>
      <c r="J824" s="5" t="n"/>
      <c r="K824" s="6" t="n"/>
      <c r="L824" s="6" t="n"/>
      <c r="M824" s="6" t="n"/>
      <c r="N824" s="5" t="n"/>
      <c r="O824" s="21" t="n"/>
      <c r="P824" s="5" t="n"/>
      <c r="Q824" s="5" t="n"/>
      <c r="R824" s="6" t="n"/>
      <c r="S824" s="4" t="n"/>
      <c r="T824" s="4" t="n"/>
      <c r="U824" s="3">
        <f>IF(C824="","",IF(T824="",TODAY()-C824,T824-C824))</f>
        <v/>
      </c>
      <c r="V824" s="5" t="n"/>
      <c r="W824" s="6" t="n"/>
      <c r="X824" s="3">
        <f>IF(P824="","",IFERROR(VLOOKUP(P824,Parâmetros!$J$2:$K$5,2,FALSE),""))</f>
        <v/>
      </c>
      <c r="Y824" s="4">
        <f>IF(OR(C824="",X824=""),"",C824+X824)</f>
        <v/>
      </c>
      <c r="Z824" s="5">
        <f>IF(C824="","",IF(Q824="Concluído","Concluído",IF(Y824&lt;TODAY(),"Vencido",IF(Y824-TODAY()&lt;=2,"A vencer","No prazo"))))</f>
        <v/>
      </c>
      <c r="AA824" s="3">
        <f>IF(OR(Y824="",Q824="Concluído"),"",Y824-TODAY())</f>
        <v/>
      </c>
      <c r="AB824" s="5" t="n"/>
      <c r="AC824" s="5" t="n"/>
      <c r="AD824" s="4" t="n"/>
    </row>
    <row r="825">
      <c r="A825" s="3">
        <f>IF(C825="","",ROW()-1)</f>
        <v/>
      </c>
      <c r="B825" s="4" t="n"/>
      <c r="C825" s="4" t="n"/>
      <c r="D825" s="5" t="n"/>
      <c r="E825" s="5" t="n"/>
      <c r="F825" s="5" t="n"/>
      <c r="G825" s="5" t="n"/>
      <c r="H825" s="5" t="n"/>
      <c r="I825" s="5" t="n"/>
      <c r="J825" s="5" t="n"/>
      <c r="K825" s="6" t="n"/>
      <c r="L825" s="6" t="n"/>
      <c r="M825" s="6" t="n"/>
      <c r="N825" s="5" t="n"/>
      <c r="O825" s="21" t="n"/>
      <c r="P825" s="5" t="n"/>
      <c r="Q825" s="5" t="n"/>
      <c r="R825" s="6" t="n"/>
      <c r="S825" s="4" t="n"/>
      <c r="T825" s="4" t="n"/>
      <c r="U825" s="3">
        <f>IF(C825="","",IF(T825="",TODAY()-C825,T825-C825))</f>
        <v/>
      </c>
      <c r="V825" s="5" t="n"/>
      <c r="W825" s="6" t="n"/>
      <c r="X825" s="3">
        <f>IF(P825="","",IFERROR(VLOOKUP(P825,Parâmetros!$J$2:$K$5,2,FALSE),""))</f>
        <v/>
      </c>
      <c r="Y825" s="4">
        <f>IF(OR(C825="",X825=""),"",C825+X825)</f>
        <v/>
      </c>
      <c r="Z825" s="5">
        <f>IF(C825="","",IF(Q825="Concluído","Concluído",IF(Y825&lt;TODAY(),"Vencido",IF(Y825-TODAY()&lt;=2,"A vencer","No prazo"))))</f>
        <v/>
      </c>
      <c r="AA825" s="3">
        <f>IF(OR(Y825="",Q825="Concluído"),"",Y825-TODAY())</f>
        <v/>
      </c>
      <c r="AB825" s="5" t="n"/>
      <c r="AC825" s="5" t="n"/>
      <c r="AD825" s="4" t="n"/>
    </row>
    <row r="826">
      <c r="A826" s="3">
        <f>IF(C826="","",ROW()-1)</f>
        <v/>
      </c>
      <c r="B826" s="4" t="n"/>
      <c r="C826" s="4" t="n"/>
      <c r="D826" s="5" t="n"/>
      <c r="E826" s="5" t="n"/>
      <c r="F826" s="5" t="n"/>
      <c r="G826" s="5" t="n"/>
      <c r="H826" s="5" t="n"/>
      <c r="I826" s="5" t="n"/>
      <c r="J826" s="5" t="n"/>
      <c r="K826" s="6" t="n"/>
      <c r="L826" s="6" t="n"/>
      <c r="M826" s="6" t="n"/>
      <c r="N826" s="5" t="n"/>
      <c r="O826" s="21" t="n"/>
      <c r="P826" s="5" t="n"/>
      <c r="Q826" s="5" t="n"/>
      <c r="R826" s="6" t="n"/>
      <c r="S826" s="4" t="n"/>
      <c r="T826" s="4" t="n"/>
      <c r="U826" s="3">
        <f>IF(C826="","",IF(T826="",TODAY()-C826,T826-C826))</f>
        <v/>
      </c>
      <c r="V826" s="5" t="n"/>
      <c r="W826" s="6" t="n"/>
      <c r="X826" s="3">
        <f>IF(P826="","",IFERROR(VLOOKUP(P826,Parâmetros!$J$2:$K$5,2,FALSE),""))</f>
        <v/>
      </c>
      <c r="Y826" s="4">
        <f>IF(OR(C826="",X826=""),"",C826+X826)</f>
        <v/>
      </c>
      <c r="Z826" s="5">
        <f>IF(C826="","",IF(Q826="Concluído","Concluído",IF(Y826&lt;TODAY(),"Vencido",IF(Y826-TODAY()&lt;=2,"A vencer","No prazo"))))</f>
        <v/>
      </c>
      <c r="AA826" s="3">
        <f>IF(OR(Y826="",Q826="Concluído"),"",Y826-TODAY())</f>
        <v/>
      </c>
      <c r="AB826" s="5" t="n"/>
      <c r="AC826" s="5" t="n"/>
      <c r="AD826" s="4" t="n"/>
    </row>
    <row r="827">
      <c r="A827" s="3">
        <f>IF(C827="","",ROW()-1)</f>
        <v/>
      </c>
      <c r="B827" s="4" t="n"/>
      <c r="C827" s="4" t="n"/>
      <c r="D827" s="5" t="n"/>
      <c r="E827" s="5" t="n"/>
      <c r="F827" s="5" t="n"/>
      <c r="G827" s="5" t="n"/>
      <c r="H827" s="5" t="n"/>
      <c r="I827" s="5" t="n"/>
      <c r="J827" s="5" t="n"/>
      <c r="K827" s="6" t="n"/>
      <c r="L827" s="6" t="n"/>
      <c r="M827" s="6" t="n"/>
      <c r="N827" s="5" t="n"/>
      <c r="O827" s="21" t="n"/>
      <c r="P827" s="5" t="n"/>
      <c r="Q827" s="5" t="n"/>
      <c r="R827" s="6" t="n"/>
      <c r="S827" s="4" t="n"/>
      <c r="T827" s="4" t="n"/>
      <c r="U827" s="3">
        <f>IF(C827="","",IF(T827="",TODAY()-C827,T827-C827))</f>
        <v/>
      </c>
      <c r="V827" s="5" t="n"/>
      <c r="W827" s="6" t="n"/>
      <c r="X827" s="3">
        <f>IF(P827="","",IFERROR(VLOOKUP(P827,Parâmetros!$J$2:$K$5,2,FALSE),""))</f>
        <v/>
      </c>
      <c r="Y827" s="4">
        <f>IF(OR(C827="",X827=""),"",C827+X827)</f>
        <v/>
      </c>
      <c r="Z827" s="5">
        <f>IF(C827="","",IF(Q827="Concluído","Concluído",IF(Y827&lt;TODAY(),"Vencido",IF(Y827-TODAY()&lt;=2,"A vencer","No prazo"))))</f>
        <v/>
      </c>
      <c r="AA827" s="3">
        <f>IF(OR(Y827="",Q827="Concluído"),"",Y827-TODAY())</f>
        <v/>
      </c>
      <c r="AB827" s="5" t="n"/>
      <c r="AC827" s="5" t="n"/>
      <c r="AD827" s="4" t="n"/>
    </row>
    <row r="828">
      <c r="A828" s="3">
        <f>IF(C828="","",ROW()-1)</f>
        <v/>
      </c>
      <c r="B828" s="4" t="n"/>
      <c r="C828" s="4" t="n"/>
      <c r="D828" s="5" t="n"/>
      <c r="E828" s="5" t="n"/>
      <c r="F828" s="5" t="n"/>
      <c r="G828" s="5" t="n"/>
      <c r="H828" s="5" t="n"/>
      <c r="I828" s="5" t="n"/>
      <c r="J828" s="5" t="n"/>
      <c r="K828" s="6" t="n"/>
      <c r="L828" s="6" t="n"/>
      <c r="M828" s="6" t="n"/>
      <c r="N828" s="5" t="n"/>
      <c r="O828" s="21" t="n"/>
      <c r="P828" s="5" t="n"/>
      <c r="Q828" s="5" t="n"/>
      <c r="R828" s="6" t="n"/>
      <c r="S828" s="4" t="n"/>
      <c r="T828" s="4" t="n"/>
      <c r="U828" s="3">
        <f>IF(C828="","",IF(T828="",TODAY()-C828,T828-C828))</f>
        <v/>
      </c>
      <c r="V828" s="5" t="n"/>
      <c r="W828" s="6" t="n"/>
      <c r="X828" s="3">
        <f>IF(P828="","",IFERROR(VLOOKUP(P828,Parâmetros!$J$2:$K$5,2,FALSE),""))</f>
        <v/>
      </c>
      <c r="Y828" s="4">
        <f>IF(OR(C828="",X828=""),"",C828+X828)</f>
        <v/>
      </c>
      <c r="Z828" s="5">
        <f>IF(C828="","",IF(Q828="Concluído","Concluído",IF(Y828&lt;TODAY(),"Vencido",IF(Y828-TODAY()&lt;=2,"A vencer","No prazo"))))</f>
        <v/>
      </c>
      <c r="AA828" s="3">
        <f>IF(OR(Y828="",Q828="Concluído"),"",Y828-TODAY())</f>
        <v/>
      </c>
      <c r="AB828" s="5" t="n"/>
      <c r="AC828" s="5" t="n"/>
      <c r="AD828" s="4" t="n"/>
    </row>
    <row r="829">
      <c r="A829" s="3">
        <f>IF(C829="","",ROW()-1)</f>
        <v/>
      </c>
      <c r="B829" s="4" t="n"/>
      <c r="C829" s="4" t="n"/>
      <c r="D829" s="5" t="n"/>
      <c r="E829" s="5" t="n"/>
      <c r="F829" s="5" t="n"/>
      <c r="G829" s="5" t="n"/>
      <c r="H829" s="5" t="n"/>
      <c r="I829" s="5" t="n"/>
      <c r="J829" s="5" t="n"/>
      <c r="K829" s="6" t="n"/>
      <c r="L829" s="6" t="n"/>
      <c r="M829" s="6" t="n"/>
      <c r="N829" s="5" t="n"/>
      <c r="O829" s="21" t="n"/>
      <c r="P829" s="5" t="n"/>
      <c r="Q829" s="5" t="n"/>
      <c r="R829" s="6" t="n"/>
      <c r="S829" s="4" t="n"/>
      <c r="T829" s="4" t="n"/>
      <c r="U829" s="3">
        <f>IF(C829="","",IF(T829="",TODAY()-C829,T829-C829))</f>
        <v/>
      </c>
      <c r="V829" s="5" t="n"/>
      <c r="W829" s="6" t="n"/>
      <c r="X829" s="3">
        <f>IF(P829="","",IFERROR(VLOOKUP(P829,Parâmetros!$J$2:$K$5,2,FALSE),""))</f>
        <v/>
      </c>
      <c r="Y829" s="4">
        <f>IF(OR(C829="",X829=""),"",C829+X829)</f>
        <v/>
      </c>
      <c r="Z829" s="5">
        <f>IF(C829="","",IF(Q829="Concluído","Concluído",IF(Y829&lt;TODAY(),"Vencido",IF(Y829-TODAY()&lt;=2,"A vencer","No prazo"))))</f>
        <v/>
      </c>
      <c r="AA829" s="3">
        <f>IF(OR(Y829="",Q829="Concluído"),"",Y829-TODAY())</f>
        <v/>
      </c>
      <c r="AB829" s="5" t="n"/>
      <c r="AC829" s="5" t="n"/>
      <c r="AD829" s="4" t="n"/>
    </row>
    <row r="830">
      <c r="A830" s="3">
        <f>IF(C830="","",ROW()-1)</f>
        <v/>
      </c>
      <c r="B830" s="4" t="n"/>
      <c r="C830" s="4" t="n"/>
      <c r="D830" s="5" t="n"/>
      <c r="E830" s="5" t="n"/>
      <c r="F830" s="5" t="n"/>
      <c r="G830" s="5" t="n"/>
      <c r="H830" s="5" t="n"/>
      <c r="I830" s="5" t="n"/>
      <c r="J830" s="5" t="n"/>
      <c r="K830" s="6" t="n"/>
      <c r="L830" s="6" t="n"/>
      <c r="M830" s="6" t="n"/>
      <c r="N830" s="5" t="n"/>
      <c r="O830" s="21" t="n"/>
      <c r="P830" s="5" t="n"/>
      <c r="Q830" s="5" t="n"/>
      <c r="R830" s="6" t="n"/>
      <c r="S830" s="4" t="n"/>
      <c r="T830" s="4" t="n"/>
      <c r="U830" s="3">
        <f>IF(C830="","",IF(T830="",TODAY()-C830,T830-C830))</f>
        <v/>
      </c>
      <c r="V830" s="5" t="n"/>
      <c r="W830" s="6" t="n"/>
      <c r="X830" s="3">
        <f>IF(P830="","",IFERROR(VLOOKUP(P830,Parâmetros!$J$2:$K$5,2,FALSE),""))</f>
        <v/>
      </c>
      <c r="Y830" s="4">
        <f>IF(OR(C830="",X830=""),"",C830+X830)</f>
        <v/>
      </c>
      <c r="Z830" s="5">
        <f>IF(C830="","",IF(Q830="Concluído","Concluído",IF(Y830&lt;TODAY(),"Vencido",IF(Y830-TODAY()&lt;=2,"A vencer","No prazo"))))</f>
        <v/>
      </c>
      <c r="AA830" s="3">
        <f>IF(OR(Y830="",Q830="Concluído"),"",Y830-TODAY())</f>
        <v/>
      </c>
      <c r="AB830" s="5" t="n"/>
      <c r="AC830" s="5" t="n"/>
      <c r="AD830" s="4" t="n"/>
    </row>
    <row r="831">
      <c r="A831" s="3">
        <f>IF(C831="","",ROW()-1)</f>
        <v/>
      </c>
      <c r="B831" s="4" t="n"/>
      <c r="C831" s="4" t="n"/>
      <c r="D831" s="5" t="n"/>
      <c r="E831" s="5" t="n"/>
      <c r="F831" s="5" t="n"/>
      <c r="G831" s="5" t="n"/>
      <c r="H831" s="5" t="n"/>
      <c r="I831" s="5" t="n"/>
      <c r="J831" s="5" t="n"/>
      <c r="K831" s="6" t="n"/>
      <c r="L831" s="6" t="n"/>
      <c r="M831" s="6" t="n"/>
      <c r="N831" s="5" t="n"/>
      <c r="O831" s="21" t="n"/>
      <c r="P831" s="5" t="n"/>
      <c r="Q831" s="5" t="n"/>
      <c r="R831" s="6" t="n"/>
      <c r="S831" s="4" t="n"/>
      <c r="T831" s="4" t="n"/>
      <c r="U831" s="3">
        <f>IF(C831="","",IF(T831="",TODAY()-C831,T831-C831))</f>
        <v/>
      </c>
      <c r="V831" s="5" t="n"/>
      <c r="W831" s="6" t="n"/>
      <c r="X831" s="3">
        <f>IF(P831="","",IFERROR(VLOOKUP(P831,Parâmetros!$J$2:$K$5,2,FALSE),""))</f>
        <v/>
      </c>
      <c r="Y831" s="4">
        <f>IF(OR(C831="",X831=""),"",C831+X831)</f>
        <v/>
      </c>
      <c r="Z831" s="5">
        <f>IF(C831="","",IF(Q831="Concluído","Concluído",IF(Y831&lt;TODAY(),"Vencido",IF(Y831-TODAY()&lt;=2,"A vencer","No prazo"))))</f>
        <v/>
      </c>
      <c r="AA831" s="3">
        <f>IF(OR(Y831="",Q831="Concluído"),"",Y831-TODAY())</f>
        <v/>
      </c>
      <c r="AB831" s="5" t="n"/>
      <c r="AC831" s="5" t="n"/>
      <c r="AD831" s="4" t="n"/>
    </row>
    <row r="832">
      <c r="A832" s="3">
        <f>IF(C832="","",ROW()-1)</f>
        <v/>
      </c>
      <c r="B832" s="4" t="n"/>
      <c r="C832" s="4" t="n"/>
      <c r="D832" s="5" t="n"/>
      <c r="E832" s="5" t="n"/>
      <c r="F832" s="5" t="n"/>
      <c r="G832" s="5" t="n"/>
      <c r="H832" s="5" t="n"/>
      <c r="I832" s="5" t="n"/>
      <c r="J832" s="5" t="n"/>
      <c r="K832" s="6" t="n"/>
      <c r="L832" s="6" t="n"/>
      <c r="M832" s="6" t="n"/>
      <c r="N832" s="5" t="n"/>
      <c r="O832" s="21" t="n"/>
      <c r="P832" s="5" t="n"/>
      <c r="Q832" s="5" t="n"/>
      <c r="R832" s="6" t="n"/>
      <c r="S832" s="4" t="n"/>
      <c r="T832" s="4" t="n"/>
      <c r="U832" s="3">
        <f>IF(C832="","",IF(T832="",TODAY()-C832,T832-C832))</f>
        <v/>
      </c>
      <c r="V832" s="5" t="n"/>
      <c r="W832" s="6" t="n"/>
      <c r="X832" s="3">
        <f>IF(P832="","",IFERROR(VLOOKUP(P832,Parâmetros!$J$2:$K$5,2,FALSE),""))</f>
        <v/>
      </c>
      <c r="Y832" s="4">
        <f>IF(OR(C832="",X832=""),"",C832+X832)</f>
        <v/>
      </c>
      <c r="Z832" s="5">
        <f>IF(C832="","",IF(Q832="Concluído","Concluído",IF(Y832&lt;TODAY(),"Vencido",IF(Y832-TODAY()&lt;=2,"A vencer","No prazo"))))</f>
        <v/>
      </c>
      <c r="AA832" s="3">
        <f>IF(OR(Y832="",Q832="Concluído"),"",Y832-TODAY())</f>
        <v/>
      </c>
      <c r="AB832" s="5" t="n"/>
      <c r="AC832" s="5" t="n"/>
      <c r="AD832" s="4" t="n"/>
    </row>
    <row r="833">
      <c r="A833" s="3">
        <f>IF(C833="","",ROW()-1)</f>
        <v/>
      </c>
      <c r="B833" s="4" t="n"/>
      <c r="C833" s="4" t="n"/>
      <c r="D833" s="5" t="n"/>
      <c r="E833" s="5" t="n"/>
      <c r="F833" s="5" t="n"/>
      <c r="G833" s="5" t="n"/>
      <c r="H833" s="5" t="n"/>
      <c r="I833" s="5" t="n"/>
      <c r="J833" s="5" t="n"/>
      <c r="K833" s="6" t="n"/>
      <c r="L833" s="6" t="n"/>
      <c r="M833" s="6" t="n"/>
      <c r="N833" s="5" t="n"/>
      <c r="O833" s="21" t="n"/>
      <c r="P833" s="5" t="n"/>
      <c r="Q833" s="5" t="n"/>
      <c r="R833" s="6" t="n"/>
      <c r="S833" s="4" t="n"/>
      <c r="T833" s="4" t="n"/>
      <c r="U833" s="3">
        <f>IF(C833="","",IF(T833="",TODAY()-C833,T833-C833))</f>
        <v/>
      </c>
      <c r="V833" s="5" t="n"/>
      <c r="W833" s="6" t="n"/>
      <c r="X833" s="3">
        <f>IF(P833="","",IFERROR(VLOOKUP(P833,Parâmetros!$J$2:$K$5,2,FALSE),""))</f>
        <v/>
      </c>
      <c r="Y833" s="4">
        <f>IF(OR(C833="",X833=""),"",C833+X833)</f>
        <v/>
      </c>
      <c r="Z833" s="5">
        <f>IF(C833="","",IF(Q833="Concluído","Concluído",IF(Y833&lt;TODAY(),"Vencido",IF(Y833-TODAY()&lt;=2,"A vencer","No prazo"))))</f>
        <v/>
      </c>
      <c r="AA833" s="3">
        <f>IF(OR(Y833="",Q833="Concluído"),"",Y833-TODAY())</f>
        <v/>
      </c>
      <c r="AB833" s="5" t="n"/>
      <c r="AC833" s="5" t="n"/>
      <c r="AD833" s="4" t="n"/>
    </row>
    <row r="834">
      <c r="A834" s="3">
        <f>IF(C834="","",ROW()-1)</f>
        <v/>
      </c>
      <c r="B834" s="4" t="n"/>
      <c r="C834" s="4" t="n"/>
      <c r="D834" s="5" t="n"/>
      <c r="E834" s="5" t="n"/>
      <c r="F834" s="5" t="n"/>
      <c r="G834" s="5" t="n"/>
      <c r="H834" s="5" t="n"/>
      <c r="I834" s="5" t="n"/>
      <c r="J834" s="5" t="n"/>
      <c r="K834" s="6" t="n"/>
      <c r="L834" s="6" t="n"/>
      <c r="M834" s="6" t="n"/>
      <c r="N834" s="5" t="n"/>
      <c r="O834" s="21" t="n"/>
      <c r="P834" s="5" t="n"/>
      <c r="Q834" s="5" t="n"/>
      <c r="R834" s="6" t="n"/>
      <c r="S834" s="4" t="n"/>
      <c r="T834" s="4" t="n"/>
      <c r="U834" s="3">
        <f>IF(C834="","",IF(T834="",TODAY()-C834,T834-C834))</f>
        <v/>
      </c>
      <c r="V834" s="5" t="n"/>
      <c r="W834" s="6" t="n"/>
      <c r="X834" s="3">
        <f>IF(P834="","",IFERROR(VLOOKUP(P834,Parâmetros!$J$2:$K$5,2,FALSE),""))</f>
        <v/>
      </c>
      <c r="Y834" s="4">
        <f>IF(OR(C834="",X834=""),"",C834+X834)</f>
        <v/>
      </c>
      <c r="Z834" s="5">
        <f>IF(C834="","",IF(Q834="Concluído","Concluído",IF(Y834&lt;TODAY(),"Vencido",IF(Y834-TODAY()&lt;=2,"A vencer","No prazo"))))</f>
        <v/>
      </c>
      <c r="AA834" s="3">
        <f>IF(OR(Y834="",Q834="Concluído"),"",Y834-TODAY())</f>
        <v/>
      </c>
      <c r="AB834" s="5" t="n"/>
      <c r="AC834" s="5" t="n"/>
      <c r="AD834" s="4" t="n"/>
    </row>
    <row r="835">
      <c r="A835" s="3">
        <f>IF(C835="","",ROW()-1)</f>
        <v/>
      </c>
      <c r="B835" s="4" t="n"/>
      <c r="C835" s="4" t="n"/>
      <c r="D835" s="5" t="n"/>
      <c r="E835" s="5" t="n"/>
      <c r="F835" s="5" t="n"/>
      <c r="G835" s="5" t="n"/>
      <c r="H835" s="5" t="n"/>
      <c r="I835" s="5" t="n"/>
      <c r="J835" s="5" t="n"/>
      <c r="K835" s="6" t="n"/>
      <c r="L835" s="6" t="n"/>
      <c r="M835" s="6" t="n"/>
      <c r="N835" s="5" t="n"/>
      <c r="O835" s="21" t="n"/>
      <c r="P835" s="5" t="n"/>
      <c r="Q835" s="5" t="n"/>
      <c r="R835" s="6" t="n"/>
      <c r="S835" s="4" t="n"/>
      <c r="T835" s="4" t="n"/>
      <c r="U835" s="3">
        <f>IF(C835="","",IF(T835="",TODAY()-C835,T835-C835))</f>
        <v/>
      </c>
      <c r="V835" s="5" t="n"/>
      <c r="W835" s="6" t="n"/>
      <c r="X835" s="3">
        <f>IF(P835="","",IFERROR(VLOOKUP(P835,Parâmetros!$J$2:$K$5,2,FALSE),""))</f>
        <v/>
      </c>
      <c r="Y835" s="4">
        <f>IF(OR(C835="",X835=""),"",C835+X835)</f>
        <v/>
      </c>
      <c r="Z835" s="5">
        <f>IF(C835="","",IF(Q835="Concluído","Concluído",IF(Y835&lt;TODAY(),"Vencido",IF(Y835-TODAY()&lt;=2,"A vencer","No prazo"))))</f>
        <v/>
      </c>
      <c r="AA835" s="3">
        <f>IF(OR(Y835="",Q835="Concluído"),"",Y835-TODAY())</f>
        <v/>
      </c>
      <c r="AB835" s="5" t="n"/>
      <c r="AC835" s="5" t="n"/>
      <c r="AD835" s="4" t="n"/>
    </row>
    <row r="836">
      <c r="A836" s="3">
        <f>IF(C836="","",ROW()-1)</f>
        <v/>
      </c>
      <c r="B836" s="4" t="n"/>
      <c r="C836" s="4" t="n"/>
      <c r="D836" s="5" t="n"/>
      <c r="E836" s="5" t="n"/>
      <c r="F836" s="5" t="n"/>
      <c r="G836" s="5" t="n"/>
      <c r="H836" s="5" t="n"/>
      <c r="I836" s="5" t="n"/>
      <c r="J836" s="5" t="n"/>
      <c r="K836" s="6" t="n"/>
      <c r="L836" s="6" t="n"/>
      <c r="M836" s="6" t="n"/>
      <c r="N836" s="5" t="n"/>
      <c r="O836" s="21" t="n"/>
      <c r="P836" s="5" t="n"/>
      <c r="Q836" s="5" t="n"/>
      <c r="R836" s="6" t="n"/>
      <c r="S836" s="4" t="n"/>
      <c r="T836" s="4" t="n"/>
      <c r="U836" s="3">
        <f>IF(C836="","",IF(T836="",TODAY()-C836,T836-C836))</f>
        <v/>
      </c>
      <c r="V836" s="5" t="n"/>
      <c r="W836" s="6" t="n"/>
      <c r="X836" s="3">
        <f>IF(P836="","",IFERROR(VLOOKUP(P836,Parâmetros!$J$2:$K$5,2,FALSE),""))</f>
        <v/>
      </c>
      <c r="Y836" s="4">
        <f>IF(OR(C836="",X836=""),"",C836+X836)</f>
        <v/>
      </c>
      <c r="Z836" s="5">
        <f>IF(C836="","",IF(Q836="Concluído","Concluído",IF(Y836&lt;TODAY(),"Vencido",IF(Y836-TODAY()&lt;=2,"A vencer","No prazo"))))</f>
        <v/>
      </c>
      <c r="AA836" s="3">
        <f>IF(OR(Y836="",Q836="Concluído"),"",Y836-TODAY())</f>
        <v/>
      </c>
      <c r="AB836" s="5" t="n"/>
      <c r="AC836" s="5" t="n"/>
      <c r="AD836" s="4" t="n"/>
    </row>
    <row r="837">
      <c r="A837" s="3">
        <f>IF(C837="","",ROW()-1)</f>
        <v/>
      </c>
      <c r="B837" s="4" t="n"/>
      <c r="C837" s="4" t="n"/>
      <c r="D837" s="5" t="n"/>
      <c r="E837" s="5" t="n"/>
      <c r="F837" s="5" t="n"/>
      <c r="G837" s="5" t="n"/>
      <c r="H837" s="5" t="n"/>
      <c r="I837" s="5" t="n"/>
      <c r="J837" s="5" t="n"/>
      <c r="K837" s="6" t="n"/>
      <c r="L837" s="6" t="n"/>
      <c r="M837" s="6" t="n"/>
      <c r="N837" s="5" t="n"/>
      <c r="O837" s="21" t="n"/>
      <c r="P837" s="5" t="n"/>
      <c r="Q837" s="5" t="n"/>
      <c r="R837" s="6" t="n"/>
      <c r="S837" s="4" t="n"/>
      <c r="T837" s="4" t="n"/>
      <c r="U837" s="3">
        <f>IF(C837="","",IF(T837="",TODAY()-C837,T837-C837))</f>
        <v/>
      </c>
      <c r="V837" s="5" t="n"/>
      <c r="W837" s="6" t="n"/>
      <c r="X837" s="3">
        <f>IF(P837="","",IFERROR(VLOOKUP(P837,Parâmetros!$J$2:$K$5,2,FALSE),""))</f>
        <v/>
      </c>
      <c r="Y837" s="4">
        <f>IF(OR(C837="",X837=""),"",C837+X837)</f>
        <v/>
      </c>
      <c r="Z837" s="5">
        <f>IF(C837="","",IF(Q837="Concluído","Concluído",IF(Y837&lt;TODAY(),"Vencido",IF(Y837-TODAY()&lt;=2,"A vencer","No prazo"))))</f>
        <v/>
      </c>
      <c r="AA837" s="3">
        <f>IF(OR(Y837="",Q837="Concluído"),"",Y837-TODAY())</f>
        <v/>
      </c>
      <c r="AB837" s="5" t="n"/>
      <c r="AC837" s="5" t="n"/>
      <c r="AD837" s="4" t="n"/>
    </row>
    <row r="838">
      <c r="A838" s="3">
        <f>IF(C838="","",ROW()-1)</f>
        <v/>
      </c>
      <c r="B838" s="4" t="n"/>
      <c r="C838" s="4" t="n"/>
      <c r="D838" s="5" t="n"/>
      <c r="E838" s="5" t="n"/>
      <c r="F838" s="5" t="n"/>
      <c r="G838" s="5" t="n"/>
      <c r="H838" s="5" t="n"/>
      <c r="I838" s="5" t="n"/>
      <c r="J838" s="5" t="n"/>
      <c r="K838" s="6" t="n"/>
      <c r="L838" s="6" t="n"/>
      <c r="M838" s="6" t="n"/>
      <c r="N838" s="5" t="n"/>
      <c r="O838" s="21" t="n"/>
      <c r="P838" s="5" t="n"/>
      <c r="Q838" s="5" t="n"/>
      <c r="R838" s="6" t="n"/>
      <c r="S838" s="4" t="n"/>
      <c r="T838" s="4" t="n"/>
      <c r="U838" s="3">
        <f>IF(C838="","",IF(T838="",TODAY()-C838,T838-C838))</f>
        <v/>
      </c>
      <c r="V838" s="5" t="n"/>
      <c r="W838" s="6" t="n"/>
      <c r="X838" s="3">
        <f>IF(P838="","",IFERROR(VLOOKUP(P838,Parâmetros!$J$2:$K$5,2,FALSE),""))</f>
        <v/>
      </c>
      <c r="Y838" s="4">
        <f>IF(OR(C838="",X838=""),"",C838+X838)</f>
        <v/>
      </c>
      <c r="Z838" s="5">
        <f>IF(C838="","",IF(Q838="Concluído","Concluído",IF(Y838&lt;TODAY(),"Vencido",IF(Y838-TODAY()&lt;=2,"A vencer","No prazo"))))</f>
        <v/>
      </c>
      <c r="AA838" s="3">
        <f>IF(OR(Y838="",Q838="Concluído"),"",Y838-TODAY())</f>
        <v/>
      </c>
      <c r="AB838" s="5" t="n"/>
      <c r="AC838" s="5" t="n"/>
      <c r="AD838" s="4" t="n"/>
    </row>
    <row r="839">
      <c r="A839" s="3">
        <f>IF(C839="","",ROW()-1)</f>
        <v/>
      </c>
      <c r="B839" s="4" t="n"/>
      <c r="C839" s="4" t="n"/>
      <c r="D839" s="5" t="n"/>
      <c r="E839" s="5" t="n"/>
      <c r="F839" s="5" t="n"/>
      <c r="G839" s="5" t="n"/>
      <c r="H839" s="5" t="n"/>
      <c r="I839" s="5" t="n"/>
      <c r="J839" s="5" t="n"/>
      <c r="K839" s="6" t="n"/>
      <c r="L839" s="6" t="n"/>
      <c r="M839" s="6" t="n"/>
      <c r="N839" s="5" t="n"/>
      <c r="O839" s="21" t="n"/>
      <c r="P839" s="5" t="n"/>
      <c r="Q839" s="5" t="n"/>
      <c r="R839" s="6" t="n"/>
      <c r="S839" s="4" t="n"/>
      <c r="T839" s="4" t="n"/>
      <c r="U839" s="3">
        <f>IF(C839="","",IF(T839="",TODAY()-C839,T839-C839))</f>
        <v/>
      </c>
      <c r="V839" s="5" t="n"/>
      <c r="W839" s="6" t="n"/>
      <c r="X839" s="3">
        <f>IF(P839="","",IFERROR(VLOOKUP(P839,Parâmetros!$J$2:$K$5,2,FALSE),""))</f>
        <v/>
      </c>
      <c r="Y839" s="4">
        <f>IF(OR(C839="",X839=""),"",C839+X839)</f>
        <v/>
      </c>
      <c r="Z839" s="5">
        <f>IF(C839="","",IF(Q839="Concluído","Concluído",IF(Y839&lt;TODAY(),"Vencido",IF(Y839-TODAY()&lt;=2,"A vencer","No prazo"))))</f>
        <v/>
      </c>
      <c r="AA839" s="3">
        <f>IF(OR(Y839="",Q839="Concluído"),"",Y839-TODAY())</f>
        <v/>
      </c>
      <c r="AB839" s="5" t="n"/>
      <c r="AC839" s="5" t="n"/>
      <c r="AD839" s="4" t="n"/>
    </row>
    <row r="840">
      <c r="A840" s="3">
        <f>IF(C840="","",ROW()-1)</f>
        <v/>
      </c>
      <c r="B840" s="4" t="n"/>
      <c r="C840" s="4" t="n"/>
      <c r="D840" s="5" t="n"/>
      <c r="E840" s="5" t="n"/>
      <c r="F840" s="5" t="n"/>
      <c r="G840" s="5" t="n"/>
      <c r="H840" s="5" t="n"/>
      <c r="I840" s="5" t="n"/>
      <c r="J840" s="5" t="n"/>
      <c r="K840" s="6" t="n"/>
      <c r="L840" s="6" t="n"/>
      <c r="M840" s="6" t="n"/>
      <c r="N840" s="5" t="n"/>
      <c r="O840" s="21" t="n"/>
      <c r="P840" s="5" t="n"/>
      <c r="Q840" s="5" t="n"/>
      <c r="R840" s="6" t="n"/>
      <c r="S840" s="4" t="n"/>
      <c r="T840" s="4" t="n"/>
      <c r="U840" s="3">
        <f>IF(C840="","",IF(T840="",TODAY()-C840,T840-C840))</f>
        <v/>
      </c>
      <c r="V840" s="5" t="n"/>
      <c r="W840" s="6" t="n"/>
      <c r="X840" s="3">
        <f>IF(P840="","",IFERROR(VLOOKUP(P840,Parâmetros!$J$2:$K$5,2,FALSE),""))</f>
        <v/>
      </c>
      <c r="Y840" s="4">
        <f>IF(OR(C840="",X840=""),"",C840+X840)</f>
        <v/>
      </c>
      <c r="Z840" s="5">
        <f>IF(C840="","",IF(Q840="Concluído","Concluído",IF(Y840&lt;TODAY(),"Vencido",IF(Y840-TODAY()&lt;=2,"A vencer","No prazo"))))</f>
        <v/>
      </c>
      <c r="AA840" s="3">
        <f>IF(OR(Y840="",Q840="Concluído"),"",Y840-TODAY())</f>
        <v/>
      </c>
      <c r="AB840" s="5" t="n"/>
      <c r="AC840" s="5" t="n"/>
      <c r="AD840" s="4" t="n"/>
    </row>
    <row r="841">
      <c r="A841" s="3">
        <f>IF(C841="","",ROW()-1)</f>
        <v/>
      </c>
      <c r="B841" s="4" t="n"/>
      <c r="C841" s="4" t="n"/>
      <c r="D841" s="5" t="n"/>
      <c r="E841" s="5" t="n"/>
      <c r="F841" s="5" t="n"/>
      <c r="G841" s="5" t="n"/>
      <c r="H841" s="5" t="n"/>
      <c r="I841" s="5" t="n"/>
      <c r="J841" s="5" t="n"/>
      <c r="K841" s="6" t="n"/>
      <c r="L841" s="6" t="n"/>
      <c r="M841" s="6" t="n"/>
      <c r="N841" s="5" t="n"/>
      <c r="O841" s="21" t="n"/>
      <c r="P841" s="5" t="n"/>
      <c r="Q841" s="5" t="n"/>
      <c r="R841" s="6" t="n"/>
      <c r="S841" s="4" t="n"/>
      <c r="T841" s="4" t="n"/>
      <c r="U841" s="3">
        <f>IF(C841="","",IF(T841="",TODAY()-C841,T841-C841))</f>
        <v/>
      </c>
      <c r="V841" s="5" t="n"/>
      <c r="W841" s="6" t="n"/>
      <c r="X841" s="3">
        <f>IF(P841="","",IFERROR(VLOOKUP(P841,Parâmetros!$J$2:$K$5,2,FALSE),""))</f>
        <v/>
      </c>
      <c r="Y841" s="4">
        <f>IF(OR(C841="",X841=""),"",C841+X841)</f>
        <v/>
      </c>
      <c r="Z841" s="5">
        <f>IF(C841="","",IF(Q841="Concluído","Concluído",IF(Y841&lt;TODAY(),"Vencido",IF(Y841-TODAY()&lt;=2,"A vencer","No prazo"))))</f>
        <v/>
      </c>
      <c r="AA841" s="3">
        <f>IF(OR(Y841="",Q841="Concluído"),"",Y841-TODAY())</f>
        <v/>
      </c>
      <c r="AB841" s="5" t="n"/>
      <c r="AC841" s="5" t="n"/>
      <c r="AD841" s="4" t="n"/>
    </row>
    <row r="842">
      <c r="A842" s="3">
        <f>IF(C842="","",ROW()-1)</f>
        <v/>
      </c>
      <c r="B842" s="4" t="n"/>
      <c r="C842" s="4" t="n"/>
      <c r="D842" s="5" t="n"/>
      <c r="E842" s="5" t="n"/>
      <c r="F842" s="5" t="n"/>
      <c r="G842" s="5" t="n"/>
      <c r="H842" s="5" t="n"/>
      <c r="I842" s="5" t="n"/>
      <c r="J842" s="5" t="n"/>
      <c r="K842" s="6" t="n"/>
      <c r="L842" s="6" t="n"/>
      <c r="M842" s="6" t="n"/>
      <c r="N842" s="5" t="n"/>
      <c r="O842" s="21" t="n"/>
      <c r="P842" s="5" t="n"/>
      <c r="Q842" s="5" t="n"/>
      <c r="R842" s="6" t="n"/>
      <c r="S842" s="4" t="n"/>
      <c r="T842" s="4" t="n"/>
      <c r="U842" s="3">
        <f>IF(C842="","",IF(T842="",TODAY()-C842,T842-C842))</f>
        <v/>
      </c>
      <c r="V842" s="5" t="n"/>
      <c r="W842" s="6" t="n"/>
      <c r="X842" s="3">
        <f>IF(P842="","",IFERROR(VLOOKUP(P842,Parâmetros!$J$2:$K$5,2,FALSE),""))</f>
        <v/>
      </c>
      <c r="Y842" s="4">
        <f>IF(OR(C842="",X842=""),"",C842+X842)</f>
        <v/>
      </c>
      <c r="Z842" s="5">
        <f>IF(C842="","",IF(Q842="Concluído","Concluído",IF(Y842&lt;TODAY(),"Vencido",IF(Y842-TODAY()&lt;=2,"A vencer","No prazo"))))</f>
        <v/>
      </c>
      <c r="AA842" s="3">
        <f>IF(OR(Y842="",Q842="Concluído"),"",Y842-TODAY())</f>
        <v/>
      </c>
      <c r="AB842" s="5" t="n"/>
      <c r="AC842" s="5" t="n"/>
      <c r="AD842" s="4" t="n"/>
    </row>
    <row r="843">
      <c r="A843" s="3">
        <f>IF(C843="","",ROW()-1)</f>
        <v/>
      </c>
      <c r="B843" s="4" t="n"/>
      <c r="C843" s="4" t="n"/>
      <c r="D843" s="5" t="n"/>
      <c r="E843" s="5" t="n"/>
      <c r="F843" s="5" t="n"/>
      <c r="G843" s="5" t="n"/>
      <c r="H843" s="5" t="n"/>
      <c r="I843" s="5" t="n"/>
      <c r="J843" s="5" t="n"/>
      <c r="K843" s="6" t="n"/>
      <c r="L843" s="6" t="n"/>
      <c r="M843" s="6" t="n"/>
      <c r="N843" s="5" t="n"/>
      <c r="O843" s="21" t="n"/>
      <c r="P843" s="5" t="n"/>
      <c r="Q843" s="5" t="n"/>
      <c r="R843" s="6" t="n"/>
      <c r="S843" s="4" t="n"/>
      <c r="T843" s="4" t="n"/>
      <c r="U843" s="3">
        <f>IF(C843="","",IF(T843="",TODAY()-C843,T843-C843))</f>
        <v/>
      </c>
      <c r="V843" s="5" t="n"/>
      <c r="W843" s="6" t="n"/>
      <c r="X843" s="3">
        <f>IF(P843="","",IFERROR(VLOOKUP(P843,Parâmetros!$J$2:$K$5,2,FALSE),""))</f>
        <v/>
      </c>
      <c r="Y843" s="4">
        <f>IF(OR(C843="",X843=""),"",C843+X843)</f>
        <v/>
      </c>
      <c r="Z843" s="5">
        <f>IF(C843="","",IF(Q843="Concluído","Concluído",IF(Y843&lt;TODAY(),"Vencido",IF(Y843-TODAY()&lt;=2,"A vencer","No prazo"))))</f>
        <v/>
      </c>
      <c r="AA843" s="3">
        <f>IF(OR(Y843="",Q843="Concluído"),"",Y843-TODAY())</f>
        <v/>
      </c>
      <c r="AB843" s="5" t="n"/>
      <c r="AC843" s="5" t="n"/>
      <c r="AD843" s="4" t="n"/>
    </row>
    <row r="844">
      <c r="A844" s="3">
        <f>IF(C844="","",ROW()-1)</f>
        <v/>
      </c>
      <c r="B844" s="4" t="n"/>
      <c r="C844" s="4" t="n"/>
      <c r="D844" s="5" t="n"/>
      <c r="E844" s="5" t="n"/>
      <c r="F844" s="5" t="n"/>
      <c r="G844" s="5" t="n"/>
      <c r="H844" s="5" t="n"/>
      <c r="I844" s="5" t="n"/>
      <c r="J844" s="5" t="n"/>
      <c r="K844" s="6" t="n"/>
      <c r="L844" s="6" t="n"/>
      <c r="M844" s="6" t="n"/>
      <c r="N844" s="5" t="n"/>
      <c r="O844" s="21" t="n"/>
      <c r="P844" s="5" t="n"/>
      <c r="Q844" s="5" t="n"/>
      <c r="R844" s="6" t="n"/>
      <c r="S844" s="4" t="n"/>
      <c r="T844" s="4" t="n"/>
      <c r="U844" s="3">
        <f>IF(C844="","",IF(T844="",TODAY()-C844,T844-C844))</f>
        <v/>
      </c>
      <c r="V844" s="5" t="n"/>
      <c r="W844" s="6" t="n"/>
      <c r="X844" s="3">
        <f>IF(P844="","",IFERROR(VLOOKUP(P844,Parâmetros!$J$2:$K$5,2,FALSE),""))</f>
        <v/>
      </c>
      <c r="Y844" s="4">
        <f>IF(OR(C844="",X844=""),"",C844+X844)</f>
        <v/>
      </c>
      <c r="Z844" s="5">
        <f>IF(C844="","",IF(Q844="Concluído","Concluído",IF(Y844&lt;TODAY(),"Vencido",IF(Y844-TODAY()&lt;=2,"A vencer","No prazo"))))</f>
        <v/>
      </c>
      <c r="AA844" s="3">
        <f>IF(OR(Y844="",Q844="Concluído"),"",Y844-TODAY())</f>
        <v/>
      </c>
      <c r="AB844" s="5" t="n"/>
      <c r="AC844" s="5" t="n"/>
      <c r="AD844" s="4" t="n"/>
    </row>
    <row r="845">
      <c r="A845" s="3">
        <f>IF(C845="","",ROW()-1)</f>
        <v/>
      </c>
      <c r="B845" s="4" t="n"/>
      <c r="C845" s="4" t="n"/>
      <c r="D845" s="5" t="n"/>
      <c r="E845" s="5" t="n"/>
      <c r="F845" s="5" t="n"/>
      <c r="G845" s="5" t="n"/>
      <c r="H845" s="5" t="n"/>
      <c r="I845" s="5" t="n"/>
      <c r="J845" s="5" t="n"/>
      <c r="K845" s="6" t="n"/>
      <c r="L845" s="6" t="n"/>
      <c r="M845" s="6" t="n"/>
      <c r="N845" s="5" t="n"/>
      <c r="O845" s="21" t="n"/>
      <c r="P845" s="5" t="n"/>
      <c r="Q845" s="5" t="n"/>
      <c r="R845" s="6" t="n"/>
      <c r="S845" s="4" t="n"/>
      <c r="T845" s="4" t="n"/>
      <c r="U845" s="3">
        <f>IF(C845="","",IF(T845="",TODAY()-C845,T845-C845))</f>
        <v/>
      </c>
      <c r="V845" s="5" t="n"/>
      <c r="W845" s="6" t="n"/>
      <c r="X845" s="3">
        <f>IF(P845="","",IFERROR(VLOOKUP(P845,Parâmetros!$J$2:$K$5,2,FALSE),""))</f>
        <v/>
      </c>
      <c r="Y845" s="4">
        <f>IF(OR(C845="",X845=""),"",C845+X845)</f>
        <v/>
      </c>
      <c r="Z845" s="5">
        <f>IF(C845="","",IF(Q845="Concluído","Concluído",IF(Y845&lt;TODAY(),"Vencido",IF(Y845-TODAY()&lt;=2,"A vencer","No prazo"))))</f>
        <v/>
      </c>
      <c r="AA845" s="3">
        <f>IF(OR(Y845="",Q845="Concluído"),"",Y845-TODAY())</f>
        <v/>
      </c>
      <c r="AB845" s="5" t="n"/>
      <c r="AC845" s="5" t="n"/>
      <c r="AD845" s="4" t="n"/>
    </row>
    <row r="846">
      <c r="A846" s="3">
        <f>IF(C846="","",ROW()-1)</f>
        <v/>
      </c>
      <c r="B846" s="4" t="n"/>
      <c r="C846" s="4" t="n"/>
      <c r="D846" s="5" t="n"/>
      <c r="E846" s="5" t="n"/>
      <c r="F846" s="5" t="n"/>
      <c r="G846" s="5" t="n"/>
      <c r="H846" s="5" t="n"/>
      <c r="I846" s="5" t="n"/>
      <c r="J846" s="5" t="n"/>
      <c r="K846" s="6" t="n"/>
      <c r="L846" s="6" t="n"/>
      <c r="M846" s="6" t="n"/>
      <c r="N846" s="5" t="n"/>
      <c r="O846" s="21" t="n"/>
      <c r="P846" s="5" t="n"/>
      <c r="Q846" s="5" t="n"/>
      <c r="R846" s="6" t="n"/>
      <c r="S846" s="4" t="n"/>
      <c r="T846" s="4" t="n"/>
      <c r="U846" s="3">
        <f>IF(C846="","",IF(T846="",TODAY()-C846,T846-C846))</f>
        <v/>
      </c>
      <c r="V846" s="5" t="n"/>
      <c r="W846" s="6" t="n"/>
      <c r="X846" s="3">
        <f>IF(P846="","",IFERROR(VLOOKUP(P846,Parâmetros!$J$2:$K$5,2,FALSE),""))</f>
        <v/>
      </c>
      <c r="Y846" s="4">
        <f>IF(OR(C846="",X846=""),"",C846+X846)</f>
        <v/>
      </c>
      <c r="Z846" s="5">
        <f>IF(C846="","",IF(Q846="Concluído","Concluído",IF(Y846&lt;TODAY(),"Vencido",IF(Y846-TODAY()&lt;=2,"A vencer","No prazo"))))</f>
        <v/>
      </c>
      <c r="AA846" s="3">
        <f>IF(OR(Y846="",Q846="Concluído"),"",Y846-TODAY())</f>
        <v/>
      </c>
      <c r="AB846" s="5" t="n"/>
      <c r="AC846" s="5" t="n"/>
      <c r="AD846" s="4" t="n"/>
    </row>
    <row r="847">
      <c r="A847" s="3">
        <f>IF(C847="","",ROW()-1)</f>
        <v/>
      </c>
      <c r="B847" s="4" t="n"/>
      <c r="C847" s="4" t="n"/>
      <c r="D847" s="5" t="n"/>
      <c r="E847" s="5" t="n"/>
      <c r="F847" s="5" t="n"/>
      <c r="G847" s="5" t="n"/>
      <c r="H847" s="5" t="n"/>
      <c r="I847" s="5" t="n"/>
      <c r="J847" s="5" t="n"/>
      <c r="K847" s="6" t="n"/>
      <c r="L847" s="6" t="n"/>
      <c r="M847" s="6" t="n"/>
      <c r="N847" s="5" t="n"/>
      <c r="O847" s="21" t="n"/>
      <c r="P847" s="5" t="n"/>
      <c r="Q847" s="5" t="n"/>
      <c r="R847" s="6" t="n"/>
      <c r="S847" s="4" t="n"/>
      <c r="T847" s="4" t="n"/>
      <c r="U847" s="3">
        <f>IF(C847="","",IF(T847="",TODAY()-C847,T847-C847))</f>
        <v/>
      </c>
      <c r="V847" s="5" t="n"/>
      <c r="W847" s="6" t="n"/>
      <c r="X847" s="3">
        <f>IF(P847="","",IFERROR(VLOOKUP(P847,Parâmetros!$J$2:$K$5,2,FALSE),""))</f>
        <v/>
      </c>
      <c r="Y847" s="4">
        <f>IF(OR(C847="",X847=""),"",C847+X847)</f>
        <v/>
      </c>
      <c r="Z847" s="5">
        <f>IF(C847="","",IF(Q847="Concluído","Concluído",IF(Y847&lt;TODAY(),"Vencido",IF(Y847-TODAY()&lt;=2,"A vencer","No prazo"))))</f>
        <v/>
      </c>
      <c r="AA847" s="3">
        <f>IF(OR(Y847="",Q847="Concluído"),"",Y847-TODAY())</f>
        <v/>
      </c>
      <c r="AB847" s="5" t="n"/>
      <c r="AC847" s="5" t="n"/>
      <c r="AD847" s="4" t="n"/>
    </row>
    <row r="848">
      <c r="A848" s="3">
        <f>IF(C848="","",ROW()-1)</f>
        <v/>
      </c>
      <c r="B848" s="4" t="n"/>
      <c r="C848" s="4" t="n"/>
      <c r="D848" s="5" t="n"/>
      <c r="E848" s="5" t="n"/>
      <c r="F848" s="5" t="n"/>
      <c r="G848" s="5" t="n"/>
      <c r="H848" s="5" t="n"/>
      <c r="I848" s="5" t="n"/>
      <c r="J848" s="5" t="n"/>
      <c r="K848" s="6" t="n"/>
      <c r="L848" s="6" t="n"/>
      <c r="M848" s="6" t="n"/>
      <c r="N848" s="5" t="n"/>
      <c r="O848" s="21" t="n"/>
      <c r="P848" s="5" t="n"/>
      <c r="Q848" s="5" t="n"/>
      <c r="R848" s="6" t="n"/>
      <c r="S848" s="4" t="n"/>
      <c r="T848" s="4" t="n"/>
      <c r="U848" s="3">
        <f>IF(C848="","",IF(T848="",TODAY()-C848,T848-C848))</f>
        <v/>
      </c>
      <c r="V848" s="5" t="n"/>
      <c r="W848" s="6" t="n"/>
      <c r="X848" s="3">
        <f>IF(P848="","",IFERROR(VLOOKUP(P848,Parâmetros!$J$2:$K$5,2,FALSE),""))</f>
        <v/>
      </c>
      <c r="Y848" s="4">
        <f>IF(OR(C848="",X848=""),"",C848+X848)</f>
        <v/>
      </c>
      <c r="Z848" s="5">
        <f>IF(C848="","",IF(Q848="Concluído","Concluído",IF(Y848&lt;TODAY(),"Vencido",IF(Y848-TODAY()&lt;=2,"A vencer","No prazo"))))</f>
        <v/>
      </c>
      <c r="AA848" s="3">
        <f>IF(OR(Y848="",Q848="Concluído"),"",Y848-TODAY())</f>
        <v/>
      </c>
      <c r="AB848" s="5" t="n"/>
      <c r="AC848" s="5" t="n"/>
      <c r="AD848" s="4" t="n"/>
    </row>
    <row r="849">
      <c r="A849" s="3">
        <f>IF(C849="","",ROW()-1)</f>
        <v/>
      </c>
      <c r="B849" s="4" t="n"/>
      <c r="C849" s="4" t="n"/>
      <c r="D849" s="5" t="n"/>
      <c r="E849" s="5" t="n"/>
      <c r="F849" s="5" t="n"/>
      <c r="G849" s="5" t="n"/>
      <c r="H849" s="5" t="n"/>
      <c r="I849" s="5" t="n"/>
      <c r="J849" s="5" t="n"/>
      <c r="K849" s="6" t="n"/>
      <c r="L849" s="6" t="n"/>
      <c r="M849" s="6" t="n"/>
      <c r="N849" s="5" t="n"/>
      <c r="O849" s="21" t="n"/>
      <c r="P849" s="5" t="n"/>
      <c r="Q849" s="5" t="n"/>
      <c r="R849" s="6" t="n"/>
      <c r="S849" s="4" t="n"/>
      <c r="T849" s="4" t="n"/>
      <c r="U849" s="3">
        <f>IF(C849="","",IF(T849="",TODAY()-C849,T849-C849))</f>
        <v/>
      </c>
      <c r="V849" s="5" t="n"/>
      <c r="W849" s="6" t="n"/>
      <c r="X849" s="3">
        <f>IF(P849="","",IFERROR(VLOOKUP(P849,Parâmetros!$J$2:$K$5,2,FALSE),""))</f>
        <v/>
      </c>
      <c r="Y849" s="4">
        <f>IF(OR(C849="",X849=""),"",C849+X849)</f>
        <v/>
      </c>
      <c r="Z849" s="5">
        <f>IF(C849="","",IF(Q849="Concluído","Concluído",IF(Y849&lt;TODAY(),"Vencido",IF(Y849-TODAY()&lt;=2,"A vencer","No prazo"))))</f>
        <v/>
      </c>
      <c r="AA849" s="3">
        <f>IF(OR(Y849="",Q849="Concluído"),"",Y849-TODAY())</f>
        <v/>
      </c>
      <c r="AB849" s="5" t="n"/>
      <c r="AC849" s="5" t="n"/>
      <c r="AD849" s="4" t="n"/>
    </row>
    <row r="850">
      <c r="A850" s="3">
        <f>IF(C850="","",ROW()-1)</f>
        <v/>
      </c>
      <c r="B850" s="4" t="n"/>
      <c r="C850" s="4" t="n"/>
      <c r="D850" s="5" t="n"/>
      <c r="E850" s="5" t="n"/>
      <c r="F850" s="5" t="n"/>
      <c r="G850" s="5" t="n"/>
      <c r="H850" s="5" t="n"/>
      <c r="I850" s="5" t="n"/>
      <c r="J850" s="5" t="n"/>
      <c r="K850" s="6" t="n"/>
      <c r="L850" s="6" t="n"/>
      <c r="M850" s="6" t="n"/>
      <c r="N850" s="5" t="n"/>
      <c r="O850" s="21" t="n"/>
      <c r="P850" s="5" t="n"/>
      <c r="Q850" s="5" t="n"/>
      <c r="R850" s="6" t="n"/>
      <c r="S850" s="4" t="n"/>
      <c r="T850" s="4" t="n"/>
      <c r="U850" s="3">
        <f>IF(C850="","",IF(T850="",TODAY()-C850,T850-C850))</f>
        <v/>
      </c>
      <c r="V850" s="5" t="n"/>
      <c r="W850" s="6" t="n"/>
      <c r="X850" s="3">
        <f>IF(P850="","",IFERROR(VLOOKUP(P850,Parâmetros!$J$2:$K$5,2,FALSE),""))</f>
        <v/>
      </c>
      <c r="Y850" s="4">
        <f>IF(OR(C850="",X850=""),"",C850+X850)</f>
        <v/>
      </c>
      <c r="Z850" s="5">
        <f>IF(C850="","",IF(Q850="Concluído","Concluído",IF(Y850&lt;TODAY(),"Vencido",IF(Y850-TODAY()&lt;=2,"A vencer","No prazo"))))</f>
        <v/>
      </c>
      <c r="AA850" s="3">
        <f>IF(OR(Y850="",Q850="Concluído"),"",Y850-TODAY())</f>
        <v/>
      </c>
      <c r="AB850" s="5" t="n"/>
      <c r="AC850" s="5" t="n"/>
      <c r="AD850" s="4" t="n"/>
    </row>
    <row r="851">
      <c r="A851" s="3">
        <f>IF(C851="","",ROW()-1)</f>
        <v/>
      </c>
      <c r="B851" s="4" t="n"/>
      <c r="C851" s="4" t="n"/>
      <c r="D851" s="5" t="n"/>
      <c r="E851" s="5" t="n"/>
      <c r="F851" s="5" t="n"/>
      <c r="G851" s="5" t="n"/>
      <c r="H851" s="5" t="n"/>
      <c r="I851" s="5" t="n"/>
      <c r="J851" s="5" t="n"/>
      <c r="K851" s="6" t="n"/>
      <c r="L851" s="6" t="n"/>
      <c r="M851" s="6" t="n"/>
      <c r="N851" s="5" t="n"/>
      <c r="O851" s="21" t="n"/>
      <c r="P851" s="5" t="n"/>
      <c r="Q851" s="5" t="n"/>
      <c r="R851" s="6" t="n"/>
      <c r="S851" s="4" t="n"/>
      <c r="T851" s="4" t="n"/>
      <c r="U851" s="3">
        <f>IF(C851="","",IF(T851="",TODAY()-C851,T851-C851))</f>
        <v/>
      </c>
      <c r="V851" s="5" t="n"/>
      <c r="W851" s="6" t="n"/>
      <c r="X851" s="3">
        <f>IF(P851="","",IFERROR(VLOOKUP(P851,Parâmetros!$J$2:$K$5,2,FALSE),""))</f>
        <v/>
      </c>
      <c r="Y851" s="4">
        <f>IF(OR(C851="",X851=""),"",C851+X851)</f>
        <v/>
      </c>
      <c r="Z851" s="5">
        <f>IF(C851="","",IF(Q851="Concluído","Concluído",IF(Y851&lt;TODAY(),"Vencido",IF(Y851-TODAY()&lt;=2,"A vencer","No prazo"))))</f>
        <v/>
      </c>
      <c r="AA851" s="3">
        <f>IF(OR(Y851="",Q851="Concluído"),"",Y851-TODAY())</f>
        <v/>
      </c>
      <c r="AB851" s="5" t="n"/>
      <c r="AC851" s="5" t="n"/>
      <c r="AD851" s="4" t="n"/>
    </row>
    <row r="852">
      <c r="A852" s="3">
        <f>IF(C852="","",ROW()-1)</f>
        <v/>
      </c>
      <c r="B852" s="4" t="n"/>
      <c r="C852" s="4" t="n"/>
      <c r="D852" s="5" t="n"/>
      <c r="E852" s="5" t="n"/>
      <c r="F852" s="5" t="n"/>
      <c r="G852" s="5" t="n"/>
      <c r="H852" s="5" t="n"/>
      <c r="I852" s="5" t="n"/>
      <c r="J852" s="5" t="n"/>
      <c r="K852" s="6" t="n"/>
      <c r="L852" s="6" t="n"/>
      <c r="M852" s="6" t="n"/>
      <c r="N852" s="5" t="n"/>
      <c r="O852" s="21" t="n"/>
      <c r="P852" s="5" t="n"/>
      <c r="Q852" s="5" t="n"/>
      <c r="R852" s="6" t="n"/>
      <c r="S852" s="4" t="n"/>
      <c r="T852" s="4" t="n"/>
      <c r="U852" s="3">
        <f>IF(C852="","",IF(T852="",TODAY()-C852,T852-C852))</f>
        <v/>
      </c>
      <c r="V852" s="5" t="n"/>
      <c r="W852" s="6" t="n"/>
      <c r="X852" s="3">
        <f>IF(P852="","",IFERROR(VLOOKUP(P852,Parâmetros!$J$2:$K$5,2,FALSE),""))</f>
        <v/>
      </c>
      <c r="Y852" s="4">
        <f>IF(OR(C852="",X852=""),"",C852+X852)</f>
        <v/>
      </c>
      <c r="Z852" s="5">
        <f>IF(C852="","",IF(Q852="Concluído","Concluído",IF(Y852&lt;TODAY(),"Vencido",IF(Y852-TODAY()&lt;=2,"A vencer","No prazo"))))</f>
        <v/>
      </c>
      <c r="AA852" s="3">
        <f>IF(OR(Y852="",Q852="Concluído"),"",Y852-TODAY())</f>
        <v/>
      </c>
      <c r="AB852" s="5" t="n"/>
      <c r="AC852" s="5" t="n"/>
      <c r="AD852" s="4" t="n"/>
    </row>
    <row r="853">
      <c r="A853" s="3">
        <f>IF(C853="","",ROW()-1)</f>
        <v/>
      </c>
      <c r="B853" s="4" t="n"/>
      <c r="C853" s="4" t="n"/>
      <c r="D853" s="5" t="n"/>
      <c r="E853" s="5" t="n"/>
      <c r="F853" s="5" t="n"/>
      <c r="G853" s="5" t="n"/>
      <c r="H853" s="5" t="n"/>
      <c r="I853" s="5" t="n"/>
      <c r="J853" s="5" t="n"/>
      <c r="K853" s="6" t="n"/>
      <c r="L853" s="6" t="n"/>
      <c r="M853" s="6" t="n"/>
      <c r="N853" s="5" t="n"/>
      <c r="O853" s="21" t="n"/>
      <c r="P853" s="5" t="n"/>
      <c r="Q853" s="5" t="n"/>
      <c r="R853" s="6" t="n"/>
      <c r="S853" s="4" t="n"/>
      <c r="T853" s="4" t="n"/>
      <c r="U853" s="3">
        <f>IF(C853="","",IF(T853="",TODAY()-C853,T853-C853))</f>
        <v/>
      </c>
      <c r="V853" s="5" t="n"/>
      <c r="W853" s="6" t="n"/>
      <c r="X853" s="3">
        <f>IF(P853="","",IFERROR(VLOOKUP(P853,Parâmetros!$J$2:$K$5,2,FALSE),""))</f>
        <v/>
      </c>
      <c r="Y853" s="4">
        <f>IF(OR(C853="",X853=""),"",C853+X853)</f>
        <v/>
      </c>
      <c r="Z853" s="5">
        <f>IF(C853="","",IF(Q853="Concluído","Concluído",IF(Y853&lt;TODAY(),"Vencido",IF(Y853-TODAY()&lt;=2,"A vencer","No prazo"))))</f>
        <v/>
      </c>
      <c r="AA853" s="3">
        <f>IF(OR(Y853="",Q853="Concluído"),"",Y853-TODAY())</f>
        <v/>
      </c>
      <c r="AB853" s="5" t="n"/>
      <c r="AC853" s="5" t="n"/>
      <c r="AD853" s="4" t="n"/>
    </row>
    <row r="854">
      <c r="A854" s="3">
        <f>IF(C854="","",ROW()-1)</f>
        <v/>
      </c>
      <c r="B854" s="4" t="n"/>
      <c r="C854" s="4" t="n"/>
      <c r="D854" s="5" t="n"/>
      <c r="E854" s="5" t="n"/>
      <c r="F854" s="5" t="n"/>
      <c r="G854" s="5" t="n"/>
      <c r="H854" s="5" t="n"/>
      <c r="I854" s="5" t="n"/>
      <c r="J854" s="5" t="n"/>
      <c r="K854" s="6" t="n"/>
      <c r="L854" s="6" t="n"/>
      <c r="M854" s="6" t="n"/>
      <c r="N854" s="5" t="n"/>
      <c r="O854" s="21" t="n"/>
      <c r="P854" s="5" t="n"/>
      <c r="Q854" s="5" t="n"/>
      <c r="R854" s="6" t="n"/>
      <c r="S854" s="4" t="n"/>
      <c r="T854" s="4" t="n"/>
      <c r="U854" s="3">
        <f>IF(C854="","",IF(T854="",TODAY()-C854,T854-C854))</f>
        <v/>
      </c>
      <c r="V854" s="5" t="n"/>
      <c r="W854" s="6" t="n"/>
      <c r="X854" s="3">
        <f>IF(P854="","",IFERROR(VLOOKUP(P854,Parâmetros!$J$2:$K$5,2,FALSE),""))</f>
        <v/>
      </c>
      <c r="Y854" s="4">
        <f>IF(OR(C854="",X854=""),"",C854+X854)</f>
        <v/>
      </c>
      <c r="Z854" s="5">
        <f>IF(C854="","",IF(Q854="Concluído","Concluído",IF(Y854&lt;TODAY(),"Vencido",IF(Y854-TODAY()&lt;=2,"A vencer","No prazo"))))</f>
        <v/>
      </c>
      <c r="AA854" s="3">
        <f>IF(OR(Y854="",Q854="Concluído"),"",Y854-TODAY())</f>
        <v/>
      </c>
      <c r="AB854" s="5" t="n"/>
      <c r="AC854" s="5" t="n"/>
      <c r="AD854" s="4" t="n"/>
    </row>
    <row r="855">
      <c r="A855" s="3">
        <f>IF(C855="","",ROW()-1)</f>
        <v/>
      </c>
      <c r="B855" s="4" t="n"/>
      <c r="C855" s="4" t="n"/>
      <c r="D855" s="5" t="n"/>
      <c r="E855" s="5" t="n"/>
      <c r="F855" s="5" t="n"/>
      <c r="G855" s="5" t="n"/>
      <c r="H855" s="5" t="n"/>
      <c r="I855" s="5" t="n"/>
      <c r="J855" s="5" t="n"/>
      <c r="K855" s="6" t="n"/>
      <c r="L855" s="6" t="n"/>
      <c r="M855" s="6" t="n"/>
      <c r="N855" s="5" t="n"/>
      <c r="O855" s="21" t="n"/>
      <c r="P855" s="5" t="n"/>
      <c r="Q855" s="5" t="n"/>
      <c r="R855" s="6" t="n"/>
      <c r="S855" s="4" t="n"/>
      <c r="T855" s="4" t="n"/>
      <c r="U855" s="3">
        <f>IF(C855="","",IF(T855="",TODAY()-C855,T855-C855))</f>
        <v/>
      </c>
      <c r="V855" s="5" t="n"/>
      <c r="W855" s="6" t="n"/>
      <c r="X855" s="3">
        <f>IF(P855="","",IFERROR(VLOOKUP(P855,Parâmetros!$J$2:$K$5,2,FALSE),""))</f>
        <v/>
      </c>
      <c r="Y855" s="4">
        <f>IF(OR(C855="",X855=""),"",C855+X855)</f>
        <v/>
      </c>
      <c r="Z855" s="5">
        <f>IF(C855="","",IF(Q855="Concluído","Concluído",IF(Y855&lt;TODAY(),"Vencido",IF(Y855-TODAY()&lt;=2,"A vencer","No prazo"))))</f>
        <v/>
      </c>
      <c r="AA855" s="3">
        <f>IF(OR(Y855="",Q855="Concluído"),"",Y855-TODAY())</f>
        <v/>
      </c>
      <c r="AB855" s="5" t="n"/>
      <c r="AC855" s="5" t="n"/>
      <c r="AD855" s="4" t="n"/>
    </row>
    <row r="856">
      <c r="A856" s="3">
        <f>IF(C856="","",ROW()-1)</f>
        <v/>
      </c>
      <c r="B856" s="4" t="n"/>
      <c r="C856" s="4" t="n"/>
      <c r="D856" s="5" t="n"/>
      <c r="E856" s="5" t="n"/>
      <c r="F856" s="5" t="n"/>
      <c r="G856" s="5" t="n"/>
      <c r="H856" s="5" t="n"/>
      <c r="I856" s="5" t="n"/>
      <c r="J856" s="5" t="n"/>
      <c r="K856" s="6" t="n"/>
      <c r="L856" s="6" t="n"/>
      <c r="M856" s="6" t="n"/>
      <c r="N856" s="5" t="n"/>
      <c r="O856" s="21" t="n"/>
      <c r="P856" s="5" t="n"/>
      <c r="Q856" s="5" t="n"/>
      <c r="R856" s="6" t="n"/>
      <c r="S856" s="4" t="n"/>
      <c r="T856" s="4" t="n"/>
      <c r="U856" s="3">
        <f>IF(C856="","",IF(T856="",TODAY()-C856,T856-C856))</f>
        <v/>
      </c>
      <c r="V856" s="5" t="n"/>
      <c r="W856" s="6" t="n"/>
      <c r="X856" s="3">
        <f>IF(P856="","",IFERROR(VLOOKUP(P856,Parâmetros!$J$2:$K$5,2,FALSE),""))</f>
        <v/>
      </c>
      <c r="Y856" s="4">
        <f>IF(OR(C856="",X856=""),"",C856+X856)</f>
        <v/>
      </c>
      <c r="Z856" s="5">
        <f>IF(C856="","",IF(Q856="Concluído","Concluído",IF(Y856&lt;TODAY(),"Vencido",IF(Y856-TODAY()&lt;=2,"A vencer","No prazo"))))</f>
        <v/>
      </c>
      <c r="AA856" s="3">
        <f>IF(OR(Y856="",Q856="Concluído"),"",Y856-TODAY())</f>
        <v/>
      </c>
      <c r="AB856" s="5" t="n"/>
      <c r="AC856" s="5" t="n"/>
      <c r="AD856" s="4" t="n"/>
    </row>
    <row r="857">
      <c r="A857" s="3">
        <f>IF(C857="","",ROW()-1)</f>
        <v/>
      </c>
      <c r="B857" s="4" t="n"/>
      <c r="C857" s="4" t="n"/>
      <c r="D857" s="5" t="n"/>
      <c r="E857" s="5" t="n"/>
      <c r="F857" s="5" t="n"/>
      <c r="G857" s="5" t="n"/>
      <c r="H857" s="5" t="n"/>
      <c r="I857" s="5" t="n"/>
      <c r="J857" s="5" t="n"/>
      <c r="K857" s="6" t="n"/>
      <c r="L857" s="6" t="n"/>
      <c r="M857" s="6" t="n"/>
      <c r="N857" s="5" t="n"/>
      <c r="O857" s="21" t="n"/>
      <c r="P857" s="5" t="n"/>
      <c r="Q857" s="5" t="n"/>
      <c r="R857" s="6" t="n"/>
      <c r="S857" s="4" t="n"/>
      <c r="T857" s="4" t="n"/>
      <c r="U857" s="3">
        <f>IF(C857="","",IF(T857="",TODAY()-C857,T857-C857))</f>
        <v/>
      </c>
      <c r="V857" s="5" t="n"/>
      <c r="W857" s="6" t="n"/>
      <c r="X857" s="3">
        <f>IF(P857="","",IFERROR(VLOOKUP(P857,Parâmetros!$J$2:$K$5,2,FALSE),""))</f>
        <v/>
      </c>
      <c r="Y857" s="4">
        <f>IF(OR(C857="",X857=""),"",C857+X857)</f>
        <v/>
      </c>
      <c r="Z857" s="5">
        <f>IF(C857="","",IF(Q857="Concluído","Concluído",IF(Y857&lt;TODAY(),"Vencido",IF(Y857-TODAY()&lt;=2,"A vencer","No prazo"))))</f>
        <v/>
      </c>
      <c r="AA857" s="3">
        <f>IF(OR(Y857="",Q857="Concluído"),"",Y857-TODAY())</f>
        <v/>
      </c>
      <c r="AB857" s="5" t="n"/>
      <c r="AC857" s="5" t="n"/>
      <c r="AD857" s="4" t="n"/>
    </row>
    <row r="858">
      <c r="A858" s="3">
        <f>IF(C858="","",ROW()-1)</f>
        <v/>
      </c>
      <c r="B858" s="4" t="n"/>
      <c r="C858" s="4" t="n"/>
      <c r="D858" s="5" t="n"/>
      <c r="E858" s="5" t="n"/>
      <c r="F858" s="5" t="n"/>
      <c r="G858" s="5" t="n"/>
      <c r="H858" s="5" t="n"/>
      <c r="I858" s="5" t="n"/>
      <c r="J858" s="5" t="n"/>
      <c r="K858" s="6" t="n"/>
      <c r="L858" s="6" t="n"/>
      <c r="M858" s="6" t="n"/>
      <c r="N858" s="5" t="n"/>
      <c r="O858" s="21" t="n"/>
      <c r="P858" s="5" t="n"/>
      <c r="Q858" s="5" t="n"/>
      <c r="R858" s="6" t="n"/>
      <c r="S858" s="4" t="n"/>
      <c r="T858" s="4" t="n"/>
      <c r="U858" s="3">
        <f>IF(C858="","",IF(T858="",TODAY()-C858,T858-C858))</f>
        <v/>
      </c>
      <c r="V858" s="5" t="n"/>
      <c r="W858" s="6" t="n"/>
      <c r="X858" s="3">
        <f>IF(P858="","",IFERROR(VLOOKUP(P858,Parâmetros!$J$2:$K$5,2,FALSE),""))</f>
        <v/>
      </c>
      <c r="Y858" s="4">
        <f>IF(OR(C858="",X858=""),"",C858+X858)</f>
        <v/>
      </c>
      <c r="Z858" s="5">
        <f>IF(C858="","",IF(Q858="Concluído","Concluído",IF(Y858&lt;TODAY(),"Vencido",IF(Y858-TODAY()&lt;=2,"A vencer","No prazo"))))</f>
        <v/>
      </c>
      <c r="AA858" s="3">
        <f>IF(OR(Y858="",Q858="Concluído"),"",Y858-TODAY())</f>
        <v/>
      </c>
      <c r="AB858" s="5" t="n"/>
      <c r="AC858" s="5" t="n"/>
      <c r="AD858" s="4" t="n"/>
    </row>
    <row r="859">
      <c r="A859" s="3">
        <f>IF(C859="","",ROW()-1)</f>
        <v/>
      </c>
      <c r="B859" s="4" t="n"/>
      <c r="C859" s="4" t="n"/>
      <c r="D859" s="5" t="n"/>
      <c r="E859" s="5" t="n"/>
      <c r="F859" s="5" t="n"/>
      <c r="G859" s="5" t="n"/>
      <c r="H859" s="5" t="n"/>
      <c r="I859" s="5" t="n"/>
      <c r="J859" s="5" t="n"/>
      <c r="K859" s="6" t="n"/>
      <c r="L859" s="6" t="n"/>
      <c r="M859" s="6" t="n"/>
      <c r="N859" s="5" t="n"/>
      <c r="O859" s="21" t="n"/>
      <c r="P859" s="5" t="n"/>
      <c r="Q859" s="5" t="n"/>
      <c r="R859" s="6" t="n"/>
      <c r="S859" s="4" t="n"/>
      <c r="T859" s="4" t="n"/>
      <c r="U859" s="3">
        <f>IF(C859="","",IF(T859="",TODAY()-C859,T859-C859))</f>
        <v/>
      </c>
      <c r="V859" s="5" t="n"/>
      <c r="W859" s="6" t="n"/>
      <c r="X859" s="3">
        <f>IF(P859="","",IFERROR(VLOOKUP(P859,Parâmetros!$J$2:$K$5,2,FALSE),""))</f>
        <v/>
      </c>
      <c r="Y859" s="4">
        <f>IF(OR(C859="",X859=""),"",C859+X859)</f>
        <v/>
      </c>
      <c r="Z859" s="5">
        <f>IF(C859="","",IF(Q859="Concluído","Concluído",IF(Y859&lt;TODAY(),"Vencido",IF(Y859-TODAY()&lt;=2,"A vencer","No prazo"))))</f>
        <v/>
      </c>
      <c r="AA859" s="3">
        <f>IF(OR(Y859="",Q859="Concluído"),"",Y859-TODAY())</f>
        <v/>
      </c>
      <c r="AB859" s="5" t="n"/>
      <c r="AC859" s="5" t="n"/>
      <c r="AD859" s="4" t="n"/>
    </row>
    <row r="860">
      <c r="A860" s="3">
        <f>IF(C860="","",ROW()-1)</f>
        <v/>
      </c>
      <c r="B860" s="4" t="n"/>
      <c r="C860" s="4" t="n"/>
      <c r="D860" s="5" t="n"/>
      <c r="E860" s="5" t="n"/>
      <c r="F860" s="5" t="n"/>
      <c r="G860" s="5" t="n"/>
      <c r="H860" s="5" t="n"/>
      <c r="I860" s="5" t="n"/>
      <c r="J860" s="5" t="n"/>
      <c r="K860" s="6" t="n"/>
      <c r="L860" s="6" t="n"/>
      <c r="M860" s="6" t="n"/>
      <c r="N860" s="5" t="n"/>
      <c r="O860" s="21" t="n"/>
      <c r="P860" s="5" t="n"/>
      <c r="Q860" s="5" t="n"/>
      <c r="R860" s="6" t="n"/>
      <c r="S860" s="4" t="n"/>
      <c r="T860" s="4" t="n"/>
      <c r="U860" s="3">
        <f>IF(C860="","",IF(T860="",TODAY()-C860,T860-C860))</f>
        <v/>
      </c>
      <c r="V860" s="5" t="n"/>
      <c r="W860" s="6" t="n"/>
      <c r="X860" s="3">
        <f>IF(P860="","",IFERROR(VLOOKUP(P860,Parâmetros!$J$2:$K$5,2,FALSE),""))</f>
        <v/>
      </c>
      <c r="Y860" s="4">
        <f>IF(OR(C860="",X860=""),"",C860+X860)</f>
        <v/>
      </c>
      <c r="Z860" s="5">
        <f>IF(C860="","",IF(Q860="Concluído","Concluído",IF(Y860&lt;TODAY(),"Vencido",IF(Y860-TODAY()&lt;=2,"A vencer","No prazo"))))</f>
        <v/>
      </c>
      <c r="AA860" s="3">
        <f>IF(OR(Y860="",Q860="Concluído"),"",Y860-TODAY())</f>
        <v/>
      </c>
      <c r="AB860" s="5" t="n"/>
      <c r="AC860" s="5" t="n"/>
      <c r="AD860" s="4" t="n"/>
    </row>
    <row r="861">
      <c r="A861" s="3">
        <f>IF(C861="","",ROW()-1)</f>
        <v/>
      </c>
      <c r="B861" s="4" t="n"/>
      <c r="C861" s="4" t="n"/>
      <c r="D861" s="5" t="n"/>
      <c r="E861" s="5" t="n"/>
      <c r="F861" s="5" t="n"/>
      <c r="G861" s="5" t="n"/>
      <c r="H861" s="5" t="n"/>
      <c r="I861" s="5" t="n"/>
      <c r="J861" s="5" t="n"/>
      <c r="K861" s="6" t="n"/>
      <c r="L861" s="6" t="n"/>
      <c r="M861" s="6" t="n"/>
      <c r="N861" s="5" t="n"/>
      <c r="O861" s="21" t="n"/>
      <c r="P861" s="5" t="n"/>
      <c r="Q861" s="5" t="n"/>
      <c r="R861" s="6" t="n"/>
      <c r="S861" s="4" t="n"/>
      <c r="T861" s="4" t="n"/>
      <c r="U861" s="3">
        <f>IF(C861="","",IF(T861="",TODAY()-C861,T861-C861))</f>
        <v/>
      </c>
      <c r="V861" s="5" t="n"/>
      <c r="W861" s="6" t="n"/>
      <c r="X861" s="3">
        <f>IF(P861="","",IFERROR(VLOOKUP(P861,Parâmetros!$J$2:$K$5,2,FALSE),""))</f>
        <v/>
      </c>
      <c r="Y861" s="4">
        <f>IF(OR(C861="",X861=""),"",C861+X861)</f>
        <v/>
      </c>
      <c r="Z861" s="5">
        <f>IF(C861="","",IF(Q861="Concluído","Concluído",IF(Y861&lt;TODAY(),"Vencido",IF(Y861-TODAY()&lt;=2,"A vencer","No prazo"))))</f>
        <v/>
      </c>
      <c r="AA861" s="3">
        <f>IF(OR(Y861="",Q861="Concluído"),"",Y861-TODAY())</f>
        <v/>
      </c>
      <c r="AB861" s="5" t="n"/>
      <c r="AC861" s="5" t="n"/>
      <c r="AD861" s="4" t="n"/>
    </row>
    <row r="862">
      <c r="A862" s="3">
        <f>IF(C862="","",ROW()-1)</f>
        <v/>
      </c>
      <c r="B862" s="4" t="n"/>
      <c r="C862" s="4" t="n"/>
      <c r="D862" s="5" t="n"/>
      <c r="E862" s="5" t="n"/>
      <c r="F862" s="5" t="n"/>
      <c r="G862" s="5" t="n"/>
      <c r="H862" s="5" t="n"/>
      <c r="I862" s="5" t="n"/>
      <c r="J862" s="5" t="n"/>
      <c r="K862" s="6" t="n"/>
      <c r="L862" s="6" t="n"/>
      <c r="M862" s="6" t="n"/>
      <c r="N862" s="5" t="n"/>
      <c r="O862" s="21" t="n"/>
      <c r="P862" s="5" t="n"/>
      <c r="Q862" s="5" t="n"/>
      <c r="R862" s="6" t="n"/>
      <c r="S862" s="4" t="n"/>
      <c r="T862" s="4" t="n"/>
      <c r="U862" s="3">
        <f>IF(C862="","",IF(T862="",TODAY()-C862,T862-C862))</f>
        <v/>
      </c>
      <c r="V862" s="5" t="n"/>
      <c r="W862" s="6" t="n"/>
      <c r="X862" s="3">
        <f>IF(P862="","",IFERROR(VLOOKUP(P862,Parâmetros!$J$2:$K$5,2,FALSE),""))</f>
        <v/>
      </c>
      <c r="Y862" s="4">
        <f>IF(OR(C862="",X862=""),"",C862+X862)</f>
        <v/>
      </c>
      <c r="Z862" s="5">
        <f>IF(C862="","",IF(Q862="Concluído","Concluído",IF(Y862&lt;TODAY(),"Vencido",IF(Y862-TODAY()&lt;=2,"A vencer","No prazo"))))</f>
        <v/>
      </c>
      <c r="AA862" s="3">
        <f>IF(OR(Y862="",Q862="Concluído"),"",Y862-TODAY())</f>
        <v/>
      </c>
      <c r="AB862" s="5" t="n"/>
      <c r="AC862" s="5" t="n"/>
      <c r="AD862" s="4" t="n"/>
    </row>
    <row r="863">
      <c r="A863" s="3">
        <f>IF(C863="","",ROW()-1)</f>
        <v/>
      </c>
      <c r="B863" s="4" t="n"/>
      <c r="C863" s="4" t="n"/>
      <c r="D863" s="5" t="n"/>
      <c r="E863" s="5" t="n"/>
      <c r="F863" s="5" t="n"/>
      <c r="G863" s="5" t="n"/>
      <c r="H863" s="5" t="n"/>
      <c r="I863" s="5" t="n"/>
      <c r="J863" s="5" t="n"/>
      <c r="K863" s="6" t="n"/>
      <c r="L863" s="6" t="n"/>
      <c r="M863" s="6" t="n"/>
      <c r="N863" s="5" t="n"/>
      <c r="O863" s="21" t="n"/>
      <c r="P863" s="5" t="n"/>
      <c r="Q863" s="5" t="n"/>
      <c r="R863" s="6" t="n"/>
      <c r="S863" s="4" t="n"/>
      <c r="T863" s="4" t="n"/>
      <c r="U863" s="3">
        <f>IF(C863="","",IF(T863="",TODAY()-C863,T863-C863))</f>
        <v/>
      </c>
      <c r="V863" s="5" t="n"/>
      <c r="W863" s="6" t="n"/>
      <c r="X863" s="3">
        <f>IF(P863="","",IFERROR(VLOOKUP(P863,Parâmetros!$J$2:$K$5,2,FALSE),""))</f>
        <v/>
      </c>
      <c r="Y863" s="4">
        <f>IF(OR(C863="",X863=""),"",C863+X863)</f>
        <v/>
      </c>
      <c r="Z863" s="5">
        <f>IF(C863="","",IF(Q863="Concluído","Concluído",IF(Y863&lt;TODAY(),"Vencido",IF(Y863-TODAY()&lt;=2,"A vencer","No prazo"))))</f>
        <v/>
      </c>
      <c r="AA863" s="3">
        <f>IF(OR(Y863="",Q863="Concluído"),"",Y863-TODAY())</f>
        <v/>
      </c>
      <c r="AB863" s="5" t="n"/>
      <c r="AC863" s="5" t="n"/>
      <c r="AD863" s="4" t="n"/>
    </row>
    <row r="864">
      <c r="A864" s="3">
        <f>IF(C864="","",ROW()-1)</f>
        <v/>
      </c>
      <c r="B864" s="4" t="n"/>
      <c r="C864" s="4" t="n"/>
      <c r="D864" s="5" t="n"/>
      <c r="E864" s="5" t="n"/>
      <c r="F864" s="5" t="n"/>
      <c r="G864" s="5" t="n"/>
      <c r="H864" s="5" t="n"/>
      <c r="I864" s="5" t="n"/>
      <c r="J864" s="5" t="n"/>
      <c r="K864" s="6" t="n"/>
      <c r="L864" s="6" t="n"/>
      <c r="M864" s="6" t="n"/>
      <c r="N864" s="5" t="n"/>
      <c r="O864" s="21" t="n"/>
      <c r="P864" s="5" t="n"/>
      <c r="Q864" s="5" t="n"/>
      <c r="R864" s="6" t="n"/>
      <c r="S864" s="4" t="n"/>
      <c r="T864" s="4" t="n"/>
      <c r="U864" s="3">
        <f>IF(C864="","",IF(T864="",TODAY()-C864,T864-C864))</f>
        <v/>
      </c>
      <c r="V864" s="5" t="n"/>
      <c r="W864" s="6" t="n"/>
      <c r="X864" s="3">
        <f>IF(P864="","",IFERROR(VLOOKUP(P864,Parâmetros!$J$2:$K$5,2,FALSE),""))</f>
        <v/>
      </c>
      <c r="Y864" s="4">
        <f>IF(OR(C864="",X864=""),"",C864+X864)</f>
        <v/>
      </c>
      <c r="Z864" s="5">
        <f>IF(C864="","",IF(Q864="Concluído","Concluído",IF(Y864&lt;TODAY(),"Vencido",IF(Y864-TODAY()&lt;=2,"A vencer","No prazo"))))</f>
        <v/>
      </c>
      <c r="AA864" s="3">
        <f>IF(OR(Y864="",Q864="Concluído"),"",Y864-TODAY())</f>
        <v/>
      </c>
      <c r="AB864" s="5" t="n"/>
      <c r="AC864" s="5" t="n"/>
      <c r="AD864" s="4" t="n"/>
    </row>
    <row r="865">
      <c r="A865" s="3">
        <f>IF(C865="","",ROW()-1)</f>
        <v/>
      </c>
      <c r="B865" s="4" t="n"/>
      <c r="C865" s="4" t="n"/>
      <c r="D865" s="5" t="n"/>
      <c r="E865" s="5" t="n"/>
      <c r="F865" s="5" t="n"/>
      <c r="G865" s="5" t="n"/>
      <c r="H865" s="5" t="n"/>
      <c r="I865" s="5" t="n"/>
      <c r="J865" s="5" t="n"/>
      <c r="K865" s="6" t="n"/>
      <c r="L865" s="6" t="n"/>
      <c r="M865" s="6" t="n"/>
      <c r="N865" s="5" t="n"/>
      <c r="O865" s="21" t="n"/>
      <c r="P865" s="5" t="n"/>
      <c r="Q865" s="5" t="n"/>
      <c r="R865" s="6" t="n"/>
      <c r="S865" s="4" t="n"/>
      <c r="T865" s="4" t="n"/>
      <c r="U865" s="3">
        <f>IF(C865="","",IF(T865="",TODAY()-C865,T865-C865))</f>
        <v/>
      </c>
      <c r="V865" s="5" t="n"/>
      <c r="W865" s="6" t="n"/>
      <c r="X865" s="3">
        <f>IF(P865="","",IFERROR(VLOOKUP(P865,Parâmetros!$J$2:$K$5,2,FALSE),""))</f>
        <v/>
      </c>
      <c r="Y865" s="4">
        <f>IF(OR(C865="",X865=""),"",C865+X865)</f>
        <v/>
      </c>
      <c r="Z865" s="5">
        <f>IF(C865="","",IF(Q865="Concluído","Concluído",IF(Y865&lt;TODAY(),"Vencido",IF(Y865-TODAY()&lt;=2,"A vencer","No prazo"))))</f>
        <v/>
      </c>
      <c r="AA865" s="3">
        <f>IF(OR(Y865="",Q865="Concluído"),"",Y865-TODAY())</f>
        <v/>
      </c>
      <c r="AB865" s="5" t="n"/>
      <c r="AC865" s="5" t="n"/>
      <c r="AD865" s="4" t="n"/>
    </row>
    <row r="866">
      <c r="A866" s="3">
        <f>IF(C866="","",ROW()-1)</f>
        <v/>
      </c>
      <c r="B866" s="4" t="n"/>
      <c r="C866" s="4" t="n"/>
      <c r="D866" s="5" t="n"/>
      <c r="E866" s="5" t="n"/>
      <c r="F866" s="5" t="n"/>
      <c r="G866" s="5" t="n"/>
      <c r="H866" s="5" t="n"/>
      <c r="I866" s="5" t="n"/>
      <c r="J866" s="5" t="n"/>
      <c r="K866" s="6" t="n"/>
      <c r="L866" s="6" t="n"/>
      <c r="M866" s="6" t="n"/>
      <c r="N866" s="5" t="n"/>
      <c r="O866" s="21" t="n"/>
      <c r="P866" s="5" t="n"/>
      <c r="Q866" s="5" t="n"/>
      <c r="R866" s="6" t="n"/>
      <c r="S866" s="4" t="n"/>
      <c r="T866" s="4" t="n"/>
      <c r="U866" s="3">
        <f>IF(C866="","",IF(T866="",TODAY()-C866,T866-C866))</f>
        <v/>
      </c>
      <c r="V866" s="5" t="n"/>
      <c r="W866" s="6" t="n"/>
      <c r="X866" s="3">
        <f>IF(P866="","",IFERROR(VLOOKUP(P866,Parâmetros!$J$2:$K$5,2,FALSE),""))</f>
        <v/>
      </c>
      <c r="Y866" s="4">
        <f>IF(OR(C866="",X866=""),"",C866+X866)</f>
        <v/>
      </c>
      <c r="Z866" s="5">
        <f>IF(C866="","",IF(Q866="Concluído","Concluído",IF(Y866&lt;TODAY(),"Vencido",IF(Y866-TODAY()&lt;=2,"A vencer","No prazo"))))</f>
        <v/>
      </c>
      <c r="AA866" s="3">
        <f>IF(OR(Y866="",Q866="Concluído"),"",Y866-TODAY())</f>
        <v/>
      </c>
      <c r="AB866" s="5" t="n"/>
      <c r="AC866" s="5" t="n"/>
      <c r="AD866" s="4" t="n"/>
    </row>
    <row r="867">
      <c r="A867" s="3">
        <f>IF(C867="","",ROW()-1)</f>
        <v/>
      </c>
      <c r="B867" s="4" t="n"/>
      <c r="C867" s="4" t="n"/>
      <c r="D867" s="5" t="n"/>
      <c r="E867" s="5" t="n"/>
      <c r="F867" s="5" t="n"/>
      <c r="G867" s="5" t="n"/>
      <c r="H867" s="5" t="n"/>
      <c r="I867" s="5" t="n"/>
      <c r="J867" s="5" t="n"/>
      <c r="K867" s="6" t="n"/>
      <c r="L867" s="6" t="n"/>
      <c r="M867" s="6" t="n"/>
      <c r="N867" s="5" t="n"/>
      <c r="O867" s="21" t="n"/>
      <c r="P867" s="5" t="n"/>
      <c r="Q867" s="5" t="n"/>
      <c r="R867" s="6" t="n"/>
      <c r="S867" s="4" t="n"/>
      <c r="T867" s="4" t="n"/>
      <c r="U867" s="3">
        <f>IF(C867="","",IF(T867="",TODAY()-C867,T867-C867))</f>
        <v/>
      </c>
      <c r="V867" s="5" t="n"/>
      <c r="W867" s="6" t="n"/>
      <c r="X867" s="3">
        <f>IF(P867="","",IFERROR(VLOOKUP(P867,Parâmetros!$J$2:$K$5,2,FALSE),""))</f>
        <v/>
      </c>
      <c r="Y867" s="4">
        <f>IF(OR(C867="",X867=""),"",C867+X867)</f>
        <v/>
      </c>
      <c r="Z867" s="5">
        <f>IF(C867="","",IF(Q867="Concluído","Concluído",IF(Y867&lt;TODAY(),"Vencido",IF(Y867-TODAY()&lt;=2,"A vencer","No prazo"))))</f>
        <v/>
      </c>
      <c r="AA867" s="3">
        <f>IF(OR(Y867="",Q867="Concluído"),"",Y867-TODAY())</f>
        <v/>
      </c>
      <c r="AB867" s="5" t="n"/>
      <c r="AC867" s="5" t="n"/>
      <c r="AD867" s="4" t="n"/>
    </row>
    <row r="868">
      <c r="A868" s="3">
        <f>IF(C868="","",ROW()-1)</f>
        <v/>
      </c>
      <c r="B868" s="4" t="n"/>
      <c r="C868" s="4" t="n"/>
      <c r="D868" s="5" t="n"/>
      <c r="E868" s="5" t="n"/>
      <c r="F868" s="5" t="n"/>
      <c r="G868" s="5" t="n"/>
      <c r="H868" s="5" t="n"/>
      <c r="I868" s="5" t="n"/>
      <c r="J868" s="5" t="n"/>
      <c r="K868" s="6" t="n"/>
      <c r="L868" s="6" t="n"/>
      <c r="M868" s="6" t="n"/>
      <c r="N868" s="5" t="n"/>
      <c r="O868" s="21" t="n"/>
      <c r="P868" s="5" t="n"/>
      <c r="Q868" s="5" t="n"/>
      <c r="R868" s="6" t="n"/>
      <c r="S868" s="4" t="n"/>
      <c r="T868" s="4" t="n"/>
      <c r="U868" s="3">
        <f>IF(C868="","",IF(T868="",TODAY()-C868,T868-C868))</f>
        <v/>
      </c>
      <c r="V868" s="5" t="n"/>
      <c r="W868" s="6" t="n"/>
      <c r="X868" s="3">
        <f>IF(P868="","",IFERROR(VLOOKUP(P868,Parâmetros!$J$2:$K$5,2,FALSE),""))</f>
        <v/>
      </c>
      <c r="Y868" s="4">
        <f>IF(OR(C868="",X868=""),"",C868+X868)</f>
        <v/>
      </c>
      <c r="Z868" s="5">
        <f>IF(C868="","",IF(Q868="Concluído","Concluído",IF(Y868&lt;TODAY(),"Vencido",IF(Y868-TODAY()&lt;=2,"A vencer","No prazo"))))</f>
        <v/>
      </c>
      <c r="AA868" s="3">
        <f>IF(OR(Y868="",Q868="Concluído"),"",Y868-TODAY())</f>
        <v/>
      </c>
      <c r="AB868" s="5" t="n"/>
      <c r="AC868" s="5" t="n"/>
      <c r="AD868" s="4" t="n"/>
    </row>
    <row r="869">
      <c r="A869" s="3">
        <f>IF(C869="","",ROW()-1)</f>
        <v/>
      </c>
      <c r="B869" s="4" t="n"/>
      <c r="C869" s="4" t="n"/>
      <c r="D869" s="5" t="n"/>
      <c r="E869" s="5" t="n"/>
      <c r="F869" s="5" t="n"/>
      <c r="G869" s="5" t="n"/>
      <c r="H869" s="5" t="n"/>
      <c r="I869" s="5" t="n"/>
      <c r="J869" s="5" t="n"/>
      <c r="K869" s="6" t="n"/>
      <c r="L869" s="6" t="n"/>
      <c r="M869" s="6" t="n"/>
      <c r="N869" s="5" t="n"/>
      <c r="O869" s="21" t="n"/>
      <c r="P869" s="5" t="n"/>
      <c r="Q869" s="5" t="n"/>
      <c r="R869" s="6" t="n"/>
      <c r="S869" s="4" t="n"/>
      <c r="T869" s="4" t="n"/>
      <c r="U869" s="3">
        <f>IF(C869="","",IF(T869="",TODAY()-C869,T869-C869))</f>
        <v/>
      </c>
      <c r="V869" s="5" t="n"/>
      <c r="W869" s="6" t="n"/>
      <c r="X869" s="3">
        <f>IF(P869="","",IFERROR(VLOOKUP(P869,Parâmetros!$J$2:$K$5,2,FALSE),""))</f>
        <v/>
      </c>
      <c r="Y869" s="4">
        <f>IF(OR(C869="",X869=""),"",C869+X869)</f>
        <v/>
      </c>
      <c r="Z869" s="5">
        <f>IF(C869="","",IF(Q869="Concluído","Concluído",IF(Y869&lt;TODAY(),"Vencido",IF(Y869-TODAY()&lt;=2,"A vencer","No prazo"))))</f>
        <v/>
      </c>
      <c r="AA869" s="3">
        <f>IF(OR(Y869="",Q869="Concluído"),"",Y869-TODAY())</f>
        <v/>
      </c>
      <c r="AB869" s="5" t="n"/>
      <c r="AC869" s="5" t="n"/>
      <c r="AD869" s="4" t="n"/>
    </row>
    <row r="870">
      <c r="A870" s="3">
        <f>IF(C870="","",ROW()-1)</f>
        <v/>
      </c>
      <c r="B870" s="4" t="n"/>
      <c r="C870" s="4" t="n"/>
      <c r="D870" s="5" t="n"/>
      <c r="E870" s="5" t="n"/>
      <c r="F870" s="5" t="n"/>
      <c r="G870" s="5" t="n"/>
      <c r="H870" s="5" t="n"/>
      <c r="I870" s="5" t="n"/>
      <c r="J870" s="5" t="n"/>
      <c r="K870" s="6" t="n"/>
      <c r="L870" s="6" t="n"/>
      <c r="M870" s="6" t="n"/>
      <c r="N870" s="5" t="n"/>
      <c r="O870" s="21" t="n"/>
      <c r="P870" s="5" t="n"/>
      <c r="Q870" s="5" t="n"/>
      <c r="R870" s="6" t="n"/>
      <c r="S870" s="4" t="n"/>
      <c r="T870" s="4" t="n"/>
      <c r="U870" s="3">
        <f>IF(C870="","",IF(T870="",TODAY()-C870,T870-C870))</f>
        <v/>
      </c>
      <c r="V870" s="5" t="n"/>
      <c r="W870" s="6" t="n"/>
      <c r="X870" s="3">
        <f>IF(P870="","",IFERROR(VLOOKUP(P870,Parâmetros!$J$2:$K$5,2,FALSE),""))</f>
        <v/>
      </c>
      <c r="Y870" s="4">
        <f>IF(OR(C870="",X870=""),"",C870+X870)</f>
        <v/>
      </c>
      <c r="Z870" s="5">
        <f>IF(C870="","",IF(Q870="Concluído","Concluído",IF(Y870&lt;TODAY(),"Vencido",IF(Y870-TODAY()&lt;=2,"A vencer","No prazo"))))</f>
        <v/>
      </c>
      <c r="AA870" s="3">
        <f>IF(OR(Y870="",Q870="Concluído"),"",Y870-TODAY())</f>
        <v/>
      </c>
      <c r="AB870" s="5" t="n"/>
      <c r="AC870" s="5" t="n"/>
      <c r="AD870" s="4" t="n"/>
    </row>
    <row r="871">
      <c r="A871" s="3">
        <f>IF(C871="","",ROW()-1)</f>
        <v/>
      </c>
      <c r="B871" s="4" t="n"/>
      <c r="C871" s="4" t="n"/>
      <c r="D871" s="5" t="n"/>
      <c r="E871" s="5" t="n"/>
      <c r="F871" s="5" t="n"/>
      <c r="G871" s="5" t="n"/>
      <c r="H871" s="5" t="n"/>
      <c r="I871" s="5" t="n"/>
      <c r="J871" s="5" t="n"/>
      <c r="K871" s="6" t="n"/>
      <c r="L871" s="6" t="n"/>
      <c r="M871" s="6" t="n"/>
      <c r="N871" s="5" t="n"/>
      <c r="O871" s="21" t="n"/>
      <c r="P871" s="5" t="n"/>
      <c r="Q871" s="5" t="n"/>
      <c r="R871" s="6" t="n"/>
      <c r="S871" s="4" t="n"/>
      <c r="T871" s="4" t="n"/>
      <c r="U871" s="3">
        <f>IF(C871="","",IF(T871="",TODAY()-C871,T871-C871))</f>
        <v/>
      </c>
      <c r="V871" s="5" t="n"/>
      <c r="W871" s="6" t="n"/>
      <c r="X871" s="3">
        <f>IF(P871="","",IFERROR(VLOOKUP(P871,Parâmetros!$J$2:$K$5,2,FALSE),""))</f>
        <v/>
      </c>
      <c r="Y871" s="4">
        <f>IF(OR(C871="",X871=""),"",C871+X871)</f>
        <v/>
      </c>
      <c r="Z871" s="5">
        <f>IF(C871="","",IF(Q871="Concluído","Concluído",IF(Y871&lt;TODAY(),"Vencido",IF(Y871-TODAY()&lt;=2,"A vencer","No prazo"))))</f>
        <v/>
      </c>
      <c r="AA871" s="3">
        <f>IF(OR(Y871="",Q871="Concluído"),"",Y871-TODAY())</f>
        <v/>
      </c>
      <c r="AB871" s="5" t="n"/>
      <c r="AC871" s="5" t="n"/>
      <c r="AD871" s="4" t="n"/>
    </row>
    <row r="872">
      <c r="A872" s="3">
        <f>IF(C872="","",ROW()-1)</f>
        <v/>
      </c>
      <c r="B872" s="4" t="n"/>
      <c r="C872" s="4" t="n"/>
      <c r="D872" s="5" t="n"/>
      <c r="E872" s="5" t="n"/>
      <c r="F872" s="5" t="n"/>
      <c r="G872" s="5" t="n"/>
      <c r="H872" s="5" t="n"/>
      <c r="I872" s="5" t="n"/>
      <c r="J872" s="5" t="n"/>
      <c r="K872" s="6" t="n"/>
      <c r="L872" s="6" t="n"/>
      <c r="M872" s="6" t="n"/>
      <c r="N872" s="5" t="n"/>
      <c r="O872" s="21" t="n"/>
      <c r="P872" s="5" t="n"/>
      <c r="Q872" s="5" t="n"/>
      <c r="R872" s="6" t="n"/>
      <c r="S872" s="4" t="n"/>
      <c r="T872" s="4" t="n"/>
      <c r="U872" s="3">
        <f>IF(C872="","",IF(T872="",TODAY()-C872,T872-C872))</f>
        <v/>
      </c>
      <c r="V872" s="5" t="n"/>
      <c r="W872" s="6" t="n"/>
      <c r="X872" s="3">
        <f>IF(P872="","",IFERROR(VLOOKUP(P872,Parâmetros!$J$2:$K$5,2,FALSE),""))</f>
        <v/>
      </c>
      <c r="Y872" s="4">
        <f>IF(OR(C872="",X872=""),"",C872+X872)</f>
        <v/>
      </c>
      <c r="Z872" s="5">
        <f>IF(C872="","",IF(Q872="Concluído","Concluído",IF(Y872&lt;TODAY(),"Vencido",IF(Y872-TODAY()&lt;=2,"A vencer","No prazo"))))</f>
        <v/>
      </c>
      <c r="AA872" s="3">
        <f>IF(OR(Y872="",Q872="Concluído"),"",Y872-TODAY())</f>
        <v/>
      </c>
      <c r="AB872" s="5" t="n"/>
      <c r="AC872" s="5" t="n"/>
      <c r="AD872" s="4" t="n"/>
    </row>
    <row r="873">
      <c r="A873" s="3">
        <f>IF(C873="","",ROW()-1)</f>
        <v/>
      </c>
      <c r="B873" s="4" t="n"/>
      <c r="C873" s="4" t="n"/>
      <c r="D873" s="5" t="n"/>
      <c r="E873" s="5" t="n"/>
      <c r="F873" s="5" t="n"/>
      <c r="G873" s="5" t="n"/>
      <c r="H873" s="5" t="n"/>
      <c r="I873" s="5" t="n"/>
      <c r="J873" s="5" t="n"/>
      <c r="K873" s="6" t="n"/>
      <c r="L873" s="6" t="n"/>
      <c r="M873" s="6" t="n"/>
      <c r="N873" s="5" t="n"/>
      <c r="O873" s="21" t="n"/>
      <c r="P873" s="5" t="n"/>
      <c r="Q873" s="5" t="n"/>
      <c r="R873" s="6" t="n"/>
      <c r="S873" s="4" t="n"/>
      <c r="T873" s="4" t="n"/>
      <c r="U873" s="3">
        <f>IF(C873="","",IF(T873="",TODAY()-C873,T873-C873))</f>
        <v/>
      </c>
      <c r="V873" s="5" t="n"/>
      <c r="W873" s="6" t="n"/>
      <c r="X873" s="3">
        <f>IF(P873="","",IFERROR(VLOOKUP(P873,Parâmetros!$J$2:$K$5,2,FALSE),""))</f>
        <v/>
      </c>
      <c r="Y873" s="4">
        <f>IF(OR(C873="",X873=""),"",C873+X873)</f>
        <v/>
      </c>
      <c r="Z873" s="5">
        <f>IF(C873="","",IF(Q873="Concluído","Concluído",IF(Y873&lt;TODAY(),"Vencido",IF(Y873-TODAY()&lt;=2,"A vencer","No prazo"))))</f>
        <v/>
      </c>
      <c r="AA873" s="3">
        <f>IF(OR(Y873="",Q873="Concluído"),"",Y873-TODAY())</f>
        <v/>
      </c>
      <c r="AB873" s="5" t="n"/>
      <c r="AC873" s="5" t="n"/>
      <c r="AD873" s="4" t="n"/>
    </row>
    <row r="874">
      <c r="A874" s="3">
        <f>IF(C874="","",ROW()-1)</f>
        <v/>
      </c>
      <c r="B874" s="4" t="n"/>
      <c r="C874" s="4" t="n"/>
      <c r="D874" s="5" t="n"/>
      <c r="E874" s="5" t="n"/>
      <c r="F874" s="5" t="n"/>
      <c r="G874" s="5" t="n"/>
      <c r="H874" s="5" t="n"/>
      <c r="I874" s="5" t="n"/>
      <c r="J874" s="5" t="n"/>
      <c r="K874" s="6" t="n"/>
      <c r="L874" s="6" t="n"/>
      <c r="M874" s="6" t="n"/>
      <c r="N874" s="5" t="n"/>
      <c r="O874" s="21" t="n"/>
      <c r="P874" s="5" t="n"/>
      <c r="Q874" s="5" t="n"/>
      <c r="R874" s="6" t="n"/>
      <c r="S874" s="4" t="n"/>
      <c r="T874" s="4" t="n"/>
      <c r="U874" s="3">
        <f>IF(C874="","",IF(T874="",TODAY()-C874,T874-C874))</f>
        <v/>
      </c>
      <c r="V874" s="5" t="n"/>
      <c r="W874" s="6" t="n"/>
      <c r="X874" s="3">
        <f>IF(P874="","",IFERROR(VLOOKUP(P874,Parâmetros!$J$2:$K$5,2,FALSE),""))</f>
        <v/>
      </c>
      <c r="Y874" s="4">
        <f>IF(OR(C874="",X874=""),"",C874+X874)</f>
        <v/>
      </c>
      <c r="Z874" s="5">
        <f>IF(C874="","",IF(Q874="Concluído","Concluído",IF(Y874&lt;TODAY(),"Vencido",IF(Y874-TODAY()&lt;=2,"A vencer","No prazo"))))</f>
        <v/>
      </c>
      <c r="AA874" s="3">
        <f>IF(OR(Y874="",Q874="Concluído"),"",Y874-TODAY())</f>
        <v/>
      </c>
      <c r="AB874" s="5" t="n"/>
      <c r="AC874" s="5" t="n"/>
      <c r="AD874" s="4" t="n"/>
    </row>
    <row r="875">
      <c r="A875" s="3">
        <f>IF(C875="","",ROW()-1)</f>
        <v/>
      </c>
      <c r="B875" s="4" t="n"/>
      <c r="C875" s="4" t="n"/>
      <c r="D875" s="5" t="n"/>
      <c r="E875" s="5" t="n"/>
      <c r="F875" s="5" t="n"/>
      <c r="G875" s="5" t="n"/>
      <c r="H875" s="5" t="n"/>
      <c r="I875" s="5" t="n"/>
      <c r="J875" s="5" t="n"/>
      <c r="K875" s="6" t="n"/>
      <c r="L875" s="6" t="n"/>
      <c r="M875" s="6" t="n"/>
      <c r="N875" s="5" t="n"/>
      <c r="O875" s="21" t="n"/>
      <c r="P875" s="5" t="n"/>
      <c r="Q875" s="5" t="n"/>
      <c r="R875" s="6" t="n"/>
      <c r="S875" s="4" t="n"/>
      <c r="T875" s="4" t="n"/>
      <c r="U875" s="3">
        <f>IF(C875="","",IF(T875="",TODAY()-C875,T875-C875))</f>
        <v/>
      </c>
      <c r="V875" s="5" t="n"/>
      <c r="W875" s="6" t="n"/>
      <c r="X875" s="3">
        <f>IF(P875="","",IFERROR(VLOOKUP(P875,Parâmetros!$J$2:$K$5,2,FALSE),""))</f>
        <v/>
      </c>
      <c r="Y875" s="4">
        <f>IF(OR(C875="",X875=""),"",C875+X875)</f>
        <v/>
      </c>
      <c r="Z875" s="5">
        <f>IF(C875="","",IF(Q875="Concluído","Concluído",IF(Y875&lt;TODAY(),"Vencido",IF(Y875-TODAY()&lt;=2,"A vencer","No prazo"))))</f>
        <v/>
      </c>
      <c r="AA875" s="3">
        <f>IF(OR(Y875="",Q875="Concluído"),"",Y875-TODAY())</f>
        <v/>
      </c>
      <c r="AB875" s="5" t="n"/>
      <c r="AC875" s="5" t="n"/>
      <c r="AD875" s="4" t="n"/>
    </row>
    <row r="876">
      <c r="A876" s="3">
        <f>IF(C876="","",ROW()-1)</f>
        <v/>
      </c>
      <c r="B876" s="4" t="n"/>
      <c r="C876" s="4" t="n"/>
      <c r="D876" s="5" t="n"/>
      <c r="E876" s="5" t="n"/>
      <c r="F876" s="5" t="n"/>
      <c r="G876" s="5" t="n"/>
      <c r="H876" s="5" t="n"/>
      <c r="I876" s="5" t="n"/>
      <c r="J876" s="5" t="n"/>
      <c r="K876" s="6" t="n"/>
      <c r="L876" s="6" t="n"/>
      <c r="M876" s="6" t="n"/>
      <c r="N876" s="5" t="n"/>
      <c r="O876" s="21" t="n"/>
      <c r="P876" s="5" t="n"/>
      <c r="Q876" s="5" t="n"/>
      <c r="R876" s="6" t="n"/>
      <c r="S876" s="4" t="n"/>
      <c r="T876" s="4" t="n"/>
      <c r="U876" s="3">
        <f>IF(C876="","",IF(T876="",TODAY()-C876,T876-C876))</f>
        <v/>
      </c>
      <c r="V876" s="5" t="n"/>
      <c r="W876" s="6" t="n"/>
      <c r="X876" s="3">
        <f>IF(P876="","",IFERROR(VLOOKUP(P876,Parâmetros!$J$2:$K$5,2,FALSE),""))</f>
        <v/>
      </c>
      <c r="Y876" s="4">
        <f>IF(OR(C876="",X876=""),"",C876+X876)</f>
        <v/>
      </c>
      <c r="Z876" s="5">
        <f>IF(C876="","",IF(Q876="Concluído","Concluído",IF(Y876&lt;TODAY(),"Vencido",IF(Y876-TODAY()&lt;=2,"A vencer","No prazo"))))</f>
        <v/>
      </c>
      <c r="AA876" s="3">
        <f>IF(OR(Y876="",Q876="Concluído"),"",Y876-TODAY())</f>
        <v/>
      </c>
      <c r="AB876" s="5" t="n"/>
      <c r="AC876" s="5" t="n"/>
      <c r="AD876" s="4" t="n"/>
    </row>
    <row r="877">
      <c r="A877" s="3">
        <f>IF(C877="","",ROW()-1)</f>
        <v/>
      </c>
      <c r="B877" s="4" t="n"/>
      <c r="C877" s="4" t="n"/>
      <c r="D877" s="5" t="n"/>
      <c r="E877" s="5" t="n"/>
      <c r="F877" s="5" t="n"/>
      <c r="G877" s="5" t="n"/>
      <c r="H877" s="5" t="n"/>
      <c r="I877" s="5" t="n"/>
      <c r="J877" s="5" t="n"/>
      <c r="K877" s="6" t="n"/>
      <c r="L877" s="6" t="n"/>
      <c r="M877" s="6" t="n"/>
      <c r="N877" s="5" t="n"/>
      <c r="O877" s="21" t="n"/>
      <c r="P877" s="5" t="n"/>
      <c r="Q877" s="5" t="n"/>
      <c r="R877" s="6" t="n"/>
      <c r="S877" s="4" t="n"/>
      <c r="T877" s="4" t="n"/>
      <c r="U877" s="3">
        <f>IF(C877="","",IF(T877="",TODAY()-C877,T877-C877))</f>
        <v/>
      </c>
      <c r="V877" s="5" t="n"/>
      <c r="W877" s="6" t="n"/>
      <c r="X877" s="3">
        <f>IF(P877="","",IFERROR(VLOOKUP(P877,Parâmetros!$J$2:$K$5,2,FALSE),""))</f>
        <v/>
      </c>
      <c r="Y877" s="4">
        <f>IF(OR(C877="",X877=""),"",C877+X877)</f>
        <v/>
      </c>
      <c r="Z877" s="5">
        <f>IF(C877="","",IF(Q877="Concluído","Concluído",IF(Y877&lt;TODAY(),"Vencido",IF(Y877-TODAY()&lt;=2,"A vencer","No prazo"))))</f>
        <v/>
      </c>
      <c r="AA877" s="3">
        <f>IF(OR(Y877="",Q877="Concluído"),"",Y877-TODAY())</f>
        <v/>
      </c>
      <c r="AB877" s="5" t="n"/>
      <c r="AC877" s="5" t="n"/>
      <c r="AD877" s="4" t="n"/>
    </row>
    <row r="878">
      <c r="A878" s="3">
        <f>IF(C878="","",ROW()-1)</f>
        <v/>
      </c>
      <c r="B878" s="4" t="n"/>
      <c r="C878" s="4" t="n"/>
      <c r="D878" s="5" t="n"/>
      <c r="E878" s="5" t="n"/>
      <c r="F878" s="5" t="n"/>
      <c r="G878" s="5" t="n"/>
      <c r="H878" s="5" t="n"/>
      <c r="I878" s="5" t="n"/>
      <c r="J878" s="5" t="n"/>
      <c r="K878" s="6" t="n"/>
      <c r="L878" s="6" t="n"/>
      <c r="M878" s="6" t="n"/>
      <c r="N878" s="5" t="n"/>
      <c r="O878" s="21" t="n"/>
      <c r="P878" s="5" t="n"/>
      <c r="Q878" s="5" t="n"/>
      <c r="R878" s="6" t="n"/>
      <c r="S878" s="4" t="n"/>
      <c r="T878" s="4" t="n"/>
      <c r="U878" s="3">
        <f>IF(C878="","",IF(T878="",TODAY()-C878,T878-C878))</f>
        <v/>
      </c>
      <c r="V878" s="5" t="n"/>
      <c r="W878" s="6" t="n"/>
      <c r="X878" s="3">
        <f>IF(P878="","",IFERROR(VLOOKUP(P878,Parâmetros!$J$2:$K$5,2,FALSE),""))</f>
        <v/>
      </c>
      <c r="Y878" s="4">
        <f>IF(OR(C878="",X878=""),"",C878+X878)</f>
        <v/>
      </c>
      <c r="Z878" s="5">
        <f>IF(C878="","",IF(Q878="Concluído","Concluído",IF(Y878&lt;TODAY(),"Vencido",IF(Y878-TODAY()&lt;=2,"A vencer","No prazo"))))</f>
        <v/>
      </c>
      <c r="AA878" s="3">
        <f>IF(OR(Y878="",Q878="Concluído"),"",Y878-TODAY())</f>
        <v/>
      </c>
      <c r="AB878" s="5" t="n"/>
      <c r="AC878" s="5" t="n"/>
      <c r="AD878" s="4" t="n"/>
    </row>
    <row r="879">
      <c r="A879" s="3">
        <f>IF(C879="","",ROW()-1)</f>
        <v/>
      </c>
      <c r="B879" s="4" t="n"/>
      <c r="C879" s="4" t="n"/>
      <c r="D879" s="5" t="n"/>
      <c r="E879" s="5" t="n"/>
      <c r="F879" s="5" t="n"/>
      <c r="G879" s="5" t="n"/>
      <c r="H879" s="5" t="n"/>
      <c r="I879" s="5" t="n"/>
      <c r="J879" s="5" t="n"/>
      <c r="K879" s="6" t="n"/>
      <c r="L879" s="6" t="n"/>
      <c r="M879" s="6" t="n"/>
      <c r="N879" s="5" t="n"/>
      <c r="O879" s="21" t="n"/>
      <c r="P879" s="5" t="n"/>
      <c r="Q879" s="5" t="n"/>
      <c r="R879" s="6" t="n"/>
      <c r="S879" s="4" t="n"/>
      <c r="T879" s="4" t="n"/>
      <c r="U879" s="3">
        <f>IF(C879="","",IF(T879="",TODAY()-C879,T879-C879))</f>
        <v/>
      </c>
      <c r="V879" s="5" t="n"/>
      <c r="W879" s="6" t="n"/>
      <c r="X879" s="3">
        <f>IF(P879="","",IFERROR(VLOOKUP(P879,Parâmetros!$J$2:$K$5,2,FALSE),""))</f>
        <v/>
      </c>
      <c r="Y879" s="4">
        <f>IF(OR(C879="",X879=""),"",C879+X879)</f>
        <v/>
      </c>
      <c r="Z879" s="5">
        <f>IF(C879="","",IF(Q879="Concluído","Concluído",IF(Y879&lt;TODAY(),"Vencido",IF(Y879-TODAY()&lt;=2,"A vencer","No prazo"))))</f>
        <v/>
      </c>
      <c r="AA879" s="3">
        <f>IF(OR(Y879="",Q879="Concluído"),"",Y879-TODAY())</f>
        <v/>
      </c>
      <c r="AB879" s="5" t="n"/>
      <c r="AC879" s="5" t="n"/>
      <c r="AD879" s="4" t="n"/>
    </row>
    <row r="880">
      <c r="A880" s="3">
        <f>IF(C880="","",ROW()-1)</f>
        <v/>
      </c>
      <c r="B880" s="4" t="n"/>
      <c r="C880" s="4" t="n"/>
      <c r="D880" s="5" t="n"/>
      <c r="E880" s="5" t="n"/>
      <c r="F880" s="5" t="n"/>
      <c r="G880" s="5" t="n"/>
      <c r="H880" s="5" t="n"/>
      <c r="I880" s="5" t="n"/>
      <c r="J880" s="5" t="n"/>
      <c r="K880" s="6" t="n"/>
      <c r="L880" s="6" t="n"/>
      <c r="M880" s="6" t="n"/>
      <c r="N880" s="5" t="n"/>
      <c r="O880" s="21" t="n"/>
      <c r="P880" s="5" t="n"/>
      <c r="Q880" s="5" t="n"/>
      <c r="R880" s="6" t="n"/>
      <c r="S880" s="4" t="n"/>
      <c r="T880" s="4" t="n"/>
      <c r="U880" s="3">
        <f>IF(C880="","",IF(T880="",TODAY()-C880,T880-C880))</f>
        <v/>
      </c>
      <c r="V880" s="5" t="n"/>
      <c r="W880" s="6" t="n"/>
      <c r="X880" s="3">
        <f>IF(P880="","",IFERROR(VLOOKUP(P880,Parâmetros!$J$2:$K$5,2,FALSE),""))</f>
        <v/>
      </c>
      <c r="Y880" s="4">
        <f>IF(OR(C880="",X880=""),"",C880+X880)</f>
        <v/>
      </c>
      <c r="Z880" s="5">
        <f>IF(C880="","",IF(Q880="Concluído","Concluído",IF(Y880&lt;TODAY(),"Vencido",IF(Y880-TODAY()&lt;=2,"A vencer","No prazo"))))</f>
        <v/>
      </c>
      <c r="AA880" s="3">
        <f>IF(OR(Y880="",Q880="Concluído"),"",Y880-TODAY())</f>
        <v/>
      </c>
      <c r="AB880" s="5" t="n"/>
      <c r="AC880" s="5" t="n"/>
      <c r="AD880" s="4" t="n"/>
    </row>
    <row r="881">
      <c r="A881" s="3">
        <f>IF(C881="","",ROW()-1)</f>
        <v/>
      </c>
      <c r="B881" s="4" t="n"/>
      <c r="C881" s="4" t="n"/>
      <c r="D881" s="5" t="n"/>
      <c r="E881" s="5" t="n"/>
      <c r="F881" s="5" t="n"/>
      <c r="G881" s="5" t="n"/>
      <c r="H881" s="5" t="n"/>
      <c r="I881" s="5" t="n"/>
      <c r="J881" s="5" t="n"/>
      <c r="K881" s="6" t="n"/>
      <c r="L881" s="6" t="n"/>
      <c r="M881" s="6" t="n"/>
      <c r="N881" s="5" t="n"/>
      <c r="O881" s="21" t="n"/>
      <c r="P881" s="5" t="n"/>
      <c r="Q881" s="5" t="n"/>
      <c r="R881" s="6" t="n"/>
      <c r="S881" s="4" t="n"/>
      <c r="T881" s="4" t="n"/>
      <c r="U881" s="3">
        <f>IF(C881="","",IF(T881="",TODAY()-C881,T881-C881))</f>
        <v/>
      </c>
      <c r="V881" s="5" t="n"/>
      <c r="W881" s="6" t="n"/>
      <c r="X881" s="3">
        <f>IF(P881="","",IFERROR(VLOOKUP(P881,Parâmetros!$J$2:$K$5,2,FALSE),""))</f>
        <v/>
      </c>
      <c r="Y881" s="4">
        <f>IF(OR(C881="",X881=""),"",C881+X881)</f>
        <v/>
      </c>
      <c r="Z881" s="5">
        <f>IF(C881="","",IF(Q881="Concluído","Concluído",IF(Y881&lt;TODAY(),"Vencido",IF(Y881-TODAY()&lt;=2,"A vencer","No prazo"))))</f>
        <v/>
      </c>
      <c r="AA881" s="3">
        <f>IF(OR(Y881="",Q881="Concluído"),"",Y881-TODAY())</f>
        <v/>
      </c>
      <c r="AB881" s="5" t="n"/>
      <c r="AC881" s="5" t="n"/>
      <c r="AD881" s="4" t="n"/>
    </row>
    <row r="882">
      <c r="A882" s="3">
        <f>IF(C882="","",ROW()-1)</f>
        <v/>
      </c>
      <c r="B882" s="4" t="n"/>
      <c r="C882" s="4" t="n"/>
      <c r="D882" s="5" t="n"/>
      <c r="E882" s="5" t="n"/>
      <c r="F882" s="5" t="n"/>
      <c r="G882" s="5" t="n"/>
      <c r="H882" s="5" t="n"/>
      <c r="I882" s="5" t="n"/>
      <c r="J882" s="5" t="n"/>
      <c r="K882" s="6" t="n"/>
      <c r="L882" s="6" t="n"/>
      <c r="M882" s="6" t="n"/>
      <c r="N882" s="5" t="n"/>
      <c r="O882" s="21" t="n"/>
      <c r="P882" s="5" t="n"/>
      <c r="Q882" s="5" t="n"/>
      <c r="R882" s="6" t="n"/>
      <c r="S882" s="4" t="n"/>
      <c r="T882" s="4" t="n"/>
      <c r="U882" s="3">
        <f>IF(C882="","",IF(T882="",TODAY()-C882,T882-C882))</f>
        <v/>
      </c>
      <c r="V882" s="5" t="n"/>
      <c r="W882" s="6" t="n"/>
      <c r="X882" s="3">
        <f>IF(P882="","",IFERROR(VLOOKUP(P882,Parâmetros!$J$2:$K$5,2,FALSE),""))</f>
        <v/>
      </c>
      <c r="Y882" s="4">
        <f>IF(OR(C882="",X882=""),"",C882+X882)</f>
        <v/>
      </c>
      <c r="Z882" s="5">
        <f>IF(C882="","",IF(Q882="Concluído","Concluído",IF(Y882&lt;TODAY(),"Vencido",IF(Y882-TODAY()&lt;=2,"A vencer","No prazo"))))</f>
        <v/>
      </c>
      <c r="AA882" s="3">
        <f>IF(OR(Y882="",Q882="Concluído"),"",Y882-TODAY())</f>
        <v/>
      </c>
      <c r="AB882" s="5" t="n"/>
      <c r="AC882" s="5" t="n"/>
      <c r="AD882" s="4" t="n"/>
    </row>
    <row r="883">
      <c r="A883" s="3">
        <f>IF(C883="","",ROW()-1)</f>
        <v/>
      </c>
      <c r="B883" s="4" t="n"/>
      <c r="C883" s="4" t="n"/>
      <c r="D883" s="5" t="n"/>
      <c r="E883" s="5" t="n"/>
      <c r="F883" s="5" t="n"/>
      <c r="G883" s="5" t="n"/>
      <c r="H883" s="5" t="n"/>
      <c r="I883" s="5" t="n"/>
      <c r="J883" s="5" t="n"/>
      <c r="K883" s="6" t="n"/>
      <c r="L883" s="6" t="n"/>
      <c r="M883" s="6" t="n"/>
      <c r="N883" s="5" t="n"/>
      <c r="O883" s="21" t="n"/>
      <c r="P883" s="5" t="n"/>
      <c r="Q883" s="5" t="n"/>
      <c r="R883" s="6" t="n"/>
      <c r="S883" s="4" t="n"/>
      <c r="T883" s="4" t="n"/>
      <c r="U883" s="3">
        <f>IF(C883="","",IF(T883="",TODAY()-C883,T883-C883))</f>
        <v/>
      </c>
      <c r="V883" s="5" t="n"/>
      <c r="W883" s="6" t="n"/>
      <c r="X883" s="3">
        <f>IF(P883="","",IFERROR(VLOOKUP(P883,Parâmetros!$J$2:$K$5,2,FALSE),""))</f>
        <v/>
      </c>
      <c r="Y883" s="4">
        <f>IF(OR(C883="",X883=""),"",C883+X883)</f>
        <v/>
      </c>
      <c r="Z883" s="5">
        <f>IF(C883="","",IF(Q883="Concluído","Concluído",IF(Y883&lt;TODAY(),"Vencido",IF(Y883-TODAY()&lt;=2,"A vencer","No prazo"))))</f>
        <v/>
      </c>
      <c r="AA883" s="3">
        <f>IF(OR(Y883="",Q883="Concluído"),"",Y883-TODAY())</f>
        <v/>
      </c>
      <c r="AB883" s="5" t="n"/>
      <c r="AC883" s="5" t="n"/>
      <c r="AD883" s="4" t="n"/>
    </row>
    <row r="884">
      <c r="A884" s="3">
        <f>IF(C884="","",ROW()-1)</f>
        <v/>
      </c>
      <c r="B884" s="4" t="n"/>
      <c r="C884" s="4" t="n"/>
      <c r="D884" s="5" t="n"/>
      <c r="E884" s="5" t="n"/>
      <c r="F884" s="5" t="n"/>
      <c r="G884" s="5" t="n"/>
      <c r="H884" s="5" t="n"/>
      <c r="I884" s="5" t="n"/>
      <c r="J884" s="5" t="n"/>
      <c r="K884" s="6" t="n"/>
      <c r="L884" s="6" t="n"/>
      <c r="M884" s="6" t="n"/>
      <c r="N884" s="5" t="n"/>
      <c r="O884" s="21" t="n"/>
      <c r="P884" s="5" t="n"/>
      <c r="Q884" s="5" t="n"/>
      <c r="R884" s="6" t="n"/>
      <c r="S884" s="4" t="n"/>
      <c r="T884" s="4" t="n"/>
      <c r="U884" s="3">
        <f>IF(C884="","",IF(T884="",TODAY()-C884,T884-C884))</f>
        <v/>
      </c>
      <c r="V884" s="5" t="n"/>
      <c r="W884" s="6" t="n"/>
      <c r="X884" s="3">
        <f>IF(P884="","",IFERROR(VLOOKUP(P884,Parâmetros!$J$2:$K$5,2,FALSE),""))</f>
        <v/>
      </c>
      <c r="Y884" s="4">
        <f>IF(OR(C884="",X884=""),"",C884+X884)</f>
        <v/>
      </c>
      <c r="Z884" s="5">
        <f>IF(C884="","",IF(Q884="Concluído","Concluído",IF(Y884&lt;TODAY(),"Vencido",IF(Y884-TODAY()&lt;=2,"A vencer","No prazo"))))</f>
        <v/>
      </c>
      <c r="AA884" s="3">
        <f>IF(OR(Y884="",Q884="Concluído"),"",Y884-TODAY())</f>
        <v/>
      </c>
      <c r="AB884" s="5" t="n"/>
      <c r="AC884" s="5" t="n"/>
      <c r="AD884" s="4" t="n"/>
    </row>
    <row r="885">
      <c r="A885" s="3">
        <f>IF(C885="","",ROW()-1)</f>
        <v/>
      </c>
      <c r="B885" s="4" t="n"/>
      <c r="C885" s="4" t="n"/>
      <c r="D885" s="5" t="n"/>
      <c r="E885" s="5" t="n"/>
      <c r="F885" s="5" t="n"/>
      <c r="G885" s="5" t="n"/>
      <c r="H885" s="5" t="n"/>
      <c r="I885" s="5" t="n"/>
      <c r="J885" s="5" t="n"/>
      <c r="K885" s="6" t="n"/>
      <c r="L885" s="6" t="n"/>
      <c r="M885" s="6" t="n"/>
      <c r="N885" s="5" t="n"/>
      <c r="O885" s="21" t="n"/>
      <c r="P885" s="5" t="n"/>
      <c r="Q885" s="5" t="n"/>
      <c r="R885" s="6" t="n"/>
      <c r="S885" s="4" t="n"/>
      <c r="T885" s="4" t="n"/>
      <c r="U885" s="3">
        <f>IF(C885="","",IF(T885="",TODAY()-C885,T885-C885))</f>
        <v/>
      </c>
      <c r="V885" s="5" t="n"/>
      <c r="W885" s="6" t="n"/>
      <c r="X885" s="3">
        <f>IF(P885="","",IFERROR(VLOOKUP(P885,Parâmetros!$J$2:$K$5,2,FALSE),""))</f>
        <v/>
      </c>
      <c r="Y885" s="4">
        <f>IF(OR(C885="",X885=""),"",C885+X885)</f>
        <v/>
      </c>
      <c r="Z885" s="5">
        <f>IF(C885="","",IF(Q885="Concluído","Concluído",IF(Y885&lt;TODAY(),"Vencido",IF(Y885-TODAY()&lt;=2,"A vencer","No prazo"))))</f>
        <v/>
      </c>
      <c r="AA885" s="3">
        <f>IF(OR(Y885="",Q885="Concluído"),"",Y885-TODAY())</f>
        <v/>
      </c>
      <c r="AB885" s="5" t="n"/>
      <c r="AC885" s="5" t="n"/>
      <c r="AD885" s="4" t="n"/>
    </row>
    <row r="886">
      <c r="A886" s="3">
        <f>IF(C886="","",ROW()-1)</f>
        <v/>
      </c>
      <c r="B886" s="4" t="n"/>
      <c r="C886" s="4" t="n"/>
      <c r="D886" s="5" t="n"/>
      <c r="E886" s="5" t="n"/>
      <c r="F886" s="5" t="n"/>
      <c r="G886" s="5" t="n"/>
      <c r="H886" s="5" t="n"/>
      <c r="I886" s="5" t="n"/>
      <c r="J886" s="5" t="n"/>
      <c r="K886" s="6" t="n"/>
      <c r="L886" s="6" t="n"/>
      <c r="M886" s="6" t="n"/>
      <c r="N886" s="5" t="n"/>
      <c r="O886" s="21" t="n"/>
      <c r="P886" s="5" t="n"/>
      <c r="Q886" s="5" t="n"/>
      <c r="R886" s="6" t="n"/>
      <c r="S886" s="4" t="n"/>
      <c r="T886" s="4" t="n"/>
      <c r="U886" s="3">
        <f>IF(C886="","",IF(T886="",TODAY()-C886,T886-C886))</f>
        <v/>
      </c>
      <c r="V886" s="5" t="n"/>
      <c r="W886" s="6" t="n"/>
      <c r="X886" s="3">
        <f>IF(P886="","",IFERROR(VLOOKUP(P886,Parâmetros!$J$2:$K$5,2,FALSE),""))</f>
        <v/>
      </c>
      <c r="Y886" s="4">
        <f>IF(OR(C886="",X886=""),"",C886+X886)</f>
        <v/>
      </c>
      <c r="Z886" s="5">
        <f>IF(C886="","",IF(Q886="Concluído","Concluído",IF(Y886&lt;TODAY(),"Vencido",IF(Y886-TODAY()&lt;=2,"A vencer","No prazo"))))</f>
        <v/>
      </c>
      <c r="AA886" s="3">
        <f>IF(OR(Y886="",Q886="Concluído"),"",Y886-TODAY())</f>
        <v/>
      </c>
      <c r="AB886" s="5" t="n"/>
      <c r="AC886" s="5" t="n"/>
      <c r="AD886" s="4" t="n"/>
    </row>
    <row r="887">
      <c r="A887" s="3">
        <f>IF(C887="","",ROW()-1)</f>
        <v/>
      </c>
      <c r="B887" s="4" t="n"/>
      <c r="C887" s="4" t="n"/>
      <c r="D887" s="5" t="n"/>
      <c r="E887" s="5" t="n"/>
      <c r="F887" s="5" t="n"/>
      <c r="G887" s="5" t="n"/>
      <c r="H887" s="5" t="n"/>
      <c r="I887" s="5" t="n"/>
      <c r="J887" s="5" t="n"/>
      <c r="K887" s="6" t="n"/>
      <c r="L887" s="6" t="n"/>
      <c r="M887" s="6" t="n"/>
      <c r="N887" s="5" t="n"/>
      <c r="O887" s="21" t="n"/>
      <c r="P887" s="5" t="n"/>
      <c r="Q887" s="5" t="n"/>
      <c r="R887" s="6" t="n"/>
      <c r="S887" s="4" t="n"/>
      <c r="T887" s="4" t="n"/>
      <c r="U887" s="3">
        <f>IF(C887="","",IF(T887="",TODAY()-C887,T887-C887))</f>
        <v/>
      </c>
      <c r="V887" s="5" t="n"/>
      <c r="W887" s="6" t="n"/>
      <c r="X887" s="3">
        <f>IF(P887="","",IFERROR(VLOOKUP(P887,Parâmetros!$J$2:$K$5,2,FALSE),""))</f>
        <v/>
      </c>
      <c r="Y887" s="4">
        <f>IF(OR(C887="",X887=""),"",C887+X887)</f>
        <v/>
      </c>
      <c r="Z887" s="5">
        <f>IF(C887="","",IF(Q887="Concluído","Concluído",IF(Y887&lt;TODAY(),"Vencido",IF(Y887-TODAY()&lt;=2,"A vencer","No prazo"))))</f>
        <v/>
      </c>
      <c r="AA887" s="3">
        <f>IF(OR(Y887="",Q887="Concluído"),"",Y887-TODAY())</f>
        <v/>
      </c>
      <c r="AB887" s="5" t="n"/>
      <c r="AC887" s="5" t="n"/>
      <c r="AD887" s="4" t="n"/>
    </row>
    <row r="888">
      <c r="A888" s="3">
        <f>IF(C888="","",ROW()-1)</f>
        <v/>
      </c>
      <c r="B888" s="4" t="n"/>
      <c r="C888" s="4" t="n"/>
      <c r="D888" s="5" t="n"/>
      <c r="E888" s="5" t="n"/>
      <c r="F888" s="5" t="n"/>
      <c r="G888" s="5" t="n"/>
      <c r="H888" s="5" t="n"/>
      <c r="I888" s="5" t="n"/>
      <c r="J888" s="5" t="n"/>
      <c r="K888" s="6" t="n"/>
      <c r="L888" s="6" t="n"/>
      <c r="M888" s="6" t="n"/>
      <c r="N888" s="5" t="n"/>
      <c r="O888" s="21" t="n"/>
      <c r="P888" s="5" t="n"/>
      <c r="Q888" s="5" t="n"/>
      <c r="R888" s="6" t="n"/>
      <c r="S888" s="4" t="n"/>
      <c r="T888" s="4" t="n"/>
      <c r="U888" s="3">
        <f>IF(C888="","",IF(T888="",TODAY()-C888,T888-C888))</f>
        <v/>
      </c>
      <c r="V888" s="5" t="n"/>
      <c r="W888" s="6" t="n"/>
      <c r="X888" s="3">
        <f>IF(P888="","",IFERROR(VLOOKUP(P888,Parâmetros!$J$2:$K$5,2,FALSE),""))</f>
        <v/>
      </c>
      <c r="Y888" s="4">
        <f>IF(OR(C888="",X888=""),"",C888+X888)</f>
        <v/>
      </c>
      <c r="Z888" s="5">
        <f>IF(C888="","",IF(Q888="Concluído","Concluído",IF(Y888&lt;TODAY(),"Vencido",IF(Y888-TODAY()&lt;=2,"A vencer","No prazo"))))</f>
        <v/>
      </c>
      <c r="AA888" s="3">
        <f>IF(OR(Y888="",Q888="Concluído"),"",Y888-TODAY())</f>
        <v/>
      </c>
      <c r="AB888" s="5" t="n"/>
      <c r="AC888" s="5" t="n"/>
      <c r="AD888" s="4" t="n"/>
    </row>
    <row r="889">
      <c r="A889" s="3">
        <f>IF(C889="","",ROW()-1)</f>
        <v/>
      </c>
      <c r="B889" s="4" t="n"/>
      <c r="C889" s="4" t="n"/>
      <c r="D889" s="5" t="n"/>
      <c r="E889" s="5" t="n"/>
      <c r="F889" s="5" t="n"/>
      <c r="G889" s="5" t="n"/>
      <c r="H889" s="5" t="n"/>
      <c r="I889" s="5" t="n"/>
      <c r="J889" s="5" t="n"/>
      <c r="K889" s="6" t="n"/>
      <c r="L889" s="6" t="n"/>
      <c r="M889" s="6" t="n"/>
      <c r="N889" s="5" t="n"/>
      <c r="O889" s="21" t="n"/>
      <c r="P889" s="5" t="n"/>
      <c r="Q889" s="5" t="n"/>
      <c r="R889" s="6" t="n"/>
      <c r="S889" s="4" t="n"/>
      <c r="T889" s="4" t="n"/>
      <c r="U889" s="3">
        <f>IF(C889="","",IF(T889="",TODAY()-C889,T889-C889))</f>
        <v/>
      </c>
      <c r="V889" s="5" t="n"/>
      <c r="W889" s="6" t="n"/>
      <c r="X889" s="3">
        <f>IF(P889="","",IFERROR(VLOOKUP(P889,Parâmetros!$J$2:$K$5,2,FALSE),""))</f>
        <v/>
      </c>
      <c r="Y889" s="4">
        <f>IF(OR(C889="",X889=""),"",C889+X889)</f>
        <v/>
      </c>
      <c r="Z889" s="5">
        <f>IF(C889="","",IF(Q889="Concluído","Concluído",IF(Y889&lt;TODAY(),"Vencido",IF(Y889-TODAY()&lt;=2,"A vencer","No prazo"))))</f>
        <v/>
      </c>
      <c r="AA889" s="3">
        <f>IF(OR(Y889="",Q889="Concluído"),"",Y889-TODAY())</f>
        <v/>
      </c>
      <c r="AB889" s="5" t="n"/>
      <c r="AC889" s="5" t="n"/>
      <c r="AD889" s="4" t="n"/>
    </row>
    <row r="890">
      <c r="A890" s="3">
        <f>IF(C890="","",ROW()-1)</f>
        <v/>
      </c>
      <c r="B890" s="4" t="n"/>
      <c r="C890" s="4" t="n"/>
      <c r="D890" s="5" t="n"/>
      <c r="E890" s="5" t="n"/>
      <c r="F890" s="5" t="n"/>
      <c r="G890" s="5" t="n"/>
      <c r="H890" s="5" t="n"/>
      <c r="I890" s="5" t="n"/>
      <c r="J890" s="5" t="n"/>
      <c r="K890" s="6" t="n"/>
      <c r="L890" s="6" t="n"/>
      <c r="M890" s="6" t="n"/>
      <c r="N890" s="5" t="n"/>
      <c r="O890" s="21" t="n"/>
      <c r="P890" s="5" t="n"/>
      <c r="Q890" s="5" t="n"/>
      <c r="R890" s="6" t="n"/>
      <c r="S890" s="4" t="n"/>
      <c r="T890" s="4" t="n"/>
      <c r="U890" s="3">
        <f>IF(C890="","",IF(T890="",TODAY()-C890,T890-C890))</f>
        <v/>
      </c>
      <c r="V890" s="5" t="n"/>
      <c r="W890" s="6" t="n"/>
      <c r="X890" s="3">
        <f>IF(P890="","",IFERROR(VLOOKUP(P890,Parâmetros!$J$2:$K$5,2,FALSE),""))</f>
        <v/>
      </c>
      <c r="Y890" s="4">
        <f>IF(OR(C890="",X890=""),"",C890+X890)</f>
        <v/>
      </c>
      <c r="Z890" s="5">
        <f>IF(C890="","",IF(Q890="Concluído","Concluído",IF(Y890&lt;TODAY(),"Vencido",IF(Y890-TODAY()&lt;=2,"A vencer","No prazo"))))</f>
        <v/>
      </c>
      <c r="AA890" s="3">
        <f>IF(OR(Y890="",Q890="Concluído"),"",Y890-TODAY())</f>
        <v/>
      </c>
      <c r="AB890" s="5" t="n"/>
      <c r="AC890" s="5" t="n"/>
      <c r="AD890" s="4" t="n"/>
    </row>
    <row r="891">
      <c r="A891" s="3">
        <f>IF(C891="","",ROW()-1)</f>
        <v/>
      </c>
      <c r="B891" s="4" t="n"/>
      <c r="C891" s="4" t="n"/>
      <c r="D891" s="5" t="n"/>
      <c r="E891" s="5" t="n"/>
      <c r="F891" s="5" t="n"/>
      <c r="G891" s="5" t="n"/>
      <c r="H891" s="5" t="n"/>
      <c r="I891" s="5" t="n"/>
      <c r="J891" s="5" t="n"/>
      <c r="K891" s="6" t="n"/>
      <c r="L891" s="6" t="n"/>
      <c r="M891" s="6" t="n"/>
      <c r="N891" s="5" t="n"/>
      <c r="O891" s="21" t="n"/>
      <c r="P891" s="5" t="n"/>
      <c r="Q891" s="5" t="n"/>
      <c r="R891" s="6" t="n"/>
      <c r="S891" s="4" t="n"/>
      <c r="T891" s="4" t="n"/>
      <c r="U891" s="3">
        <f>IF(C891="","",IF(T891="",TODAY()-C891,T891-C891))</f>
        <v/>
      </c>
      <c r="V891" s="5" t="n"/>
      <c r="W891" s="6" t="n"/>
      <c r="X891" s="3">
        <f>IF(P891="","",IFERROR(VLOOKUP(P891,Parâmetros!$J$2:$K$5,2,FALSE),""))</f>
        <v/>
      </c>
      <c r="Y891" s="4">
        <f>IF(OR(C891="",X891=""),"",C891+X891)</f>
        <v/>
      </c>
      <c r="Z891" s="5">
        <f>IF(C891="","",IF(Q891="Concluído","Concluído",IF(Y891&lt;TODAY(),"Vencido",IF(Y891-TODAY()&lt;=2,"A vencer","No prazo"))))</f>
        <v/>
      </c>
      <c r="AA891" s="3">
        <f>IF(OR(Y891="",Q891="Concluído"),"",Y891-TODAY())</f>
        <v/>
      </c>
      <c r="AB891" s="5" t="n"/>
      <c r="AC891" s="5" t="n"/>
      <c r="AD891" s="4" t="n"/>
    </row>
    <row r="892">
      <c r="A892" s="3">
        <f>IF(C892="","",ROW()-1)</f>
        <v/>
      </c>
      <c r="B892" s="4" t="n"/>
      <c r="C892" s="4" t="n"/>
      <c r="D892" s="5" t="n"/>
      <c r="E892" s="5" t="n"/>
      <c r="F892" s="5" t="n"/>
      <c r="G892" s="5" t="n"/>
      <c r="H892" s="5" t="n"/>
      <c r="I892" s="5" t="n"/>
      <c r="J892" s="5" t="n"/>
      <c r="K892" s="6" t="n"/>
      <c r="L892" s="6" t="n"/>
      <c r="M892" s="6" t="n"/>
      <c r="N892" s="5" t="n"/>
      <c r="O892" s="21" t="n"/>
      <c r="P892" s="5" t="n"/>
      <c r="Q892" s="5" t="n"/>
      <c r="R892" s="6" t="n"/>
      <c r="S892" s="4" t="n"/>
      <c r="T892" s="4" t="n"/>
      <c r="U892" s="3">
        <f>IF(C892="","",IF(T892="",TODAY()-C892,T892-C892))</f>
        <v/>
      </c>
      <c r="V892" s="5" t="n"/>
      <c r="W892" s="6" t="n"/>
      <c r="X892" s="3">
        <f>IF(P892="","",IFERROR(VLOOKUP(P892,Parâmetros!$J$2:$K$5,2,FALSE),""))</f>
        <v/>
      </c>
      <c r="Y892" s="4">
        <f>IF(OR(C892="",X892=""),"",C892+X892)</f>
        <v/>
      </c>
      <c r="Z892" s="5">
        <f>IF(C892="","",IF(Q892="Concluído","Concluído",IF(Y892&lt;TODAY(),"Vencido",IF(Y892-TODAY()&lt;=2,"A vencer","No prazo"))))</f>
        <v/>
      </c>
      <c r="AA892" s="3">
        <f>IF(OR(Y892="",Q892="Concluído"),"",Y892-TODAY())</f>
        <v/>
      </c>
      <c r="AB892" s="5" t="n"/>
      <c r="AC892" s="5" t="n"/>
      <c r="AD892" s="4" t="n"/>
    </row>
    <row r="893">
      <c r="A893" s="3">
        <f>IF(C893="","",ROW()-1)</f>
        <v/>
      </c>
      <c r="B893" s="4" t="n"/>
      <c r="C893" s="4" t="n"/>
      <c r="D893" s="5" t="n"/>
      <c r="E893" s="5" t="n"/>
      <c r="F893" s="5" t="n"/>
      <c r="G893" s="5" t="n"/>
      <c r="H893" s="5" t="n"/>
      <c r="I893" s="5" t="n"/>
      <c r="J893" s="5" t="n"/>
      <c r="K893" s="6" t="n"/>
      <c r="L893" s="6" t="n"/>
      <c r="M893" s="6" t="n"/>
      <c r="N893" s="5" t="n"/>
      <c r="O893" s="21" t="n"/>
      <c r="P893" s="5" t="n"/>
      <c r="Q893" s="5" t="n"/>
      <c r="R893" s="6" t="n"/>
      <c r="S893" s="4" t="n"/>
      <c r="T893" s="4" t="n"/>
      <c r="U893" s="3">
        <f>IF(C893="","",IF(T893="",TODAY()-C893,T893-C893))</f>
        <v/>
      </c>
      <c r="V893" s="5" t="n"/>
      <c r="W893" s="6" t="n"/>
      <c r="X893" s="3">
        <f>IF(P893="","",IFERROR(VLOOKUP(P893,Parâmetros!$J$2:$K$5,2,FALSE),""))</f>
        <v/>
      </c>
      <c r="Y893" s="4">
        <f>IF(OR(C893="",X893=""),"",C893+X893)</f>
        <v/>
      </c>
      <c r="Z893" s="5">
        <f>IF(C893="","",IF(Q893="Concluído","Concluído",IF(Y893&lt;TODAY(),"Vencido",IF(Y893-TODAY()&lt;=2,"A vencer","No prazo"))))</f>
        <v/>
      </c>
      <c r="AA893" s="3">
        <f>IF(OR(Y893="",Q893="Concluído"),"",Y893-TODAY())</f>
        <v/>
      </c>
      <c r="AB893" s="5" t="n"/>
      <c r="AC893" s="5" t="n"/>
      <c r="AD893" s="4" t="n"/>
    </row>
    <row r="894">
      <c r="A894" s="3">
        <f>IF(C894="","",ROW()-1)</f>
        <v/>
      </c>
      <c r="B894" s="4" t="n"/>
      <c r="C894" s="4" t="n"/>
      <c r="D894" s="5" t="n"/>
      <c r="E894" s="5" t="n"/>
      <c r="F894" s="5" t="n"/>
      <c r="G894" s="5" t="n"/>
      <c r="H894" s="5" t="n"/>
      <c r="I894" s="5" t="n"/>
      <c r="J894" s="5" t="n"/>
      <c r="K894" s="6" t="n"/>
      <c r="L894" s="6" t="n"/>
      <c r="M894" s="6" t="n"/>
      <c r="N894" s="5" t="n"/>
      <c r="O894" s="21" t="n"/>
      <c r="P894" s="5" t="n"/>
      <c r="Q894" s="5" t="n"/>
      <c r="R894" s="6" t="n"/>
      <c r="S894" s="4" t="n"/>
      <c r="T894" s="4" t="n"/>
      <c r="U894" s="3">
        <f>IF(C894="","",IF(T894="",TODAY()-C894,T894-C894))</f>
        <v/>
      </c>
      <c r="V894" s="5" t="n"/>
      <c r="W894" s="6" t="n"/>
      <c r="X894" s="3">
        <f>IF(P894="","",IFERROR(VLOOKUP(P894,Parâmetros!$J$2:$K$5,2,FALSE),""))</f>
        <v/>
      </c>
      <c r="Y894" s="4">
        <f>IF(OR(C894="",X894=""),"",C894+X894)</f>
        <v/>
      </c>
      <c r="Z894" s="5">
        <f>IF(C894="","",IF(Q894="Concluído","Concluído",IF(Y894&lt;TODAY(),"Vencido",IF(Y894-TODAY()&lt;=2,"A vencer","No prazo"))))</f>
        <v/>
      </c>
      <c r="AA894" s="3">
        <f>IF(OR(Y894="",Q894="Concluído"),"",Y894-TODAY())</f>
        <v/>
      </c>
      <c r="AB894" s="5" t="n"/>
      <c r="AC894" s="5" t="n"/>
      <c r="AD894" s="4" t="n"/>
    </row>
    <row r="895">
      <c r="A895" s="3">
        <f>IF(C895="","",ROW()-1)</f>
        <v/>
      </c>
      <c r="B895" s="4" t="n"/>
      <c r="C895" s="4" t="n"/>
      <c r="D895" s="5" t="n"/>
      <c r="E895" s="5" t="n"/>
      <c r="F895" s="5" t="n"/>
      <c r="G895" s="5" t="n"/>
      <c r="H895" s="5" t="n"/>
      <c r="I895" s="5" t="n"/>
      <c r="J895" s="5" t="n"/>
      <c r="K895" s="6" t="n"/>
      <c r="L895" s="6" t="n"/>
      <c r="M895" s="6" t="n"/>
      <c r="N895" s="5" t="n"/>
      <c r="O895" s="21" t="n"/>
      <c r="P895" s="5" t="n"/>
      <c r="Q895" s="5" t="n"/>
      <c r="R895" s="6" t="n"/>
      <c r="S895" s="4" t="n"/>
      <c r="T895" s="4" t="n"/>
      <c r="U895" s="3">
        <f>IF(C895="","",IF(T895="",TODAY()-C895,T895-C895))</f>
        <v/>
      </c>
      <c r="V895" s="5" t="n"/>
      <c r="W895" s="6" t="n"/>
      <c r="X895" s="3">
        <f>IF(P895="","",IFERROR(VLOOKUP(P895,Parâmetros!$J$2:$K$5,2,FALSE),""))</f>
        <v/>
      </c>
      <c r="Y895" s="4">
        <f>IF(OR(C895="",X895=""),"",C895+X895)</f>
        <v/>
      </c>
      <c r="Z895" s="5">
        <f>IF(C895="","",IF(Q895="Concluído","Concluído",IF(Y895&lt;TODAY(),"Vencido",IF(Y895-TODAY()&lt;=2,"A vencer","No prazo"))))</f>
        <v/>
      </c>
      <c r="AA895" s="3">
        <f>IF(OR(Y895="",Q895="Concluído"),"",Y895-TODAY())</f>
        <v/>
      </c>
      <c r="AB895" s="5" t="n"/>
      <c r="AC895" s="5" t="n"/>
      <c r="AD895" s="4" t="n"/>
    </row>
    <row r="896">
      <c r="A896" s="3">
        <f>IF(C896="","",ROW()-1)</f>
        <v/>
      </c>
      <c r="B896" s="4" t="n"/>
      <c r="C896" s="4" t="n"/>
      <c r="D896" s="5" t="n"/>
      <c r="E896" s="5" t="n"/>
      <c r="F896" s="5" t="n"/>
      <c r="G896" s="5" t="n"/>
      <c r="H896" s="5" t="n"/>
      <c r="I896" s="5" t="n"/>
      <c r="J896" s="5" t="n"/>
      <c r="K896" s="6" t="n"/>
      <c r="L896" s="6" t="n"/>
      <c r="M896" s="6" t="n"/>
      <c r="N896" s="5" t="n"/>
      <c r="O896" s="21" t="n"/>
      <c r="P896" s="5" t="n"/>
      <c r="Q896" s="5" t="n"/>
      <c r="R896" s="6" t="n"/>
      <c r="S896" s="4" t="n"/>
      <c r="T896" s="4" t="n"/>
      <c r="U896" s="3">
        <f>IF(C896="","",IF(T896="",TODAY()-C896,T896-C896))</f>
        <v/>
      </c>
      <c r="V896" s="5" t="n"/>
      <c r="W896" s="6" t="n"/>
      <c r="X896" s="3">
        <f>IF(P896="","",IFERROR(VLOOKUP(P896,Parâmetros!$J$2:$K$5,2,FALSE),""))</f>
        <v/>
      </c>
      <c r="Y896" s="4">
        <f>IF(OR(C896="",X896=""),"",C896+X896)</f>
        <v/>
      </c>
      <c r="Z896" s="5">
        <f>IF(C896="","",IF(Q896="Concluído","Concluído",IF(Y896&lt;TODAY(),"Vencido",IF(Y896-TODAY()&lt;=2,"A vencer","No prazo"))))</f>
        <v/>
      </c>
      <c r="AA896" s="3">
        <f>IF(OR(Y896="",Q896="Concluído"),"",Y896-TODAY())</f>
        <v/>
      </c>
      <c r="AB896" s="5" t="n"/>
      <c r="AC896" s="5" t="n"/>
      <c r="AD896" s="4" t="n"/>
    </row>
    <row r="897">
      <c r="A897" s="3">
        <f>IF(C897="","",ROW()-1)</f>
        <v/>
      </c>
      <c r="B897" s="4" t="n"/>
      <c r="C897" s="4" t="n"/>
      <c r="D897" s="5" t="n"/>
      <c r="E897" s="5" t="n"/>
      <c r="F897" s="5" t="n"/>
      <c r="G897" s="5" t="n"/>
      <c r="H897" s="5" t="n"/>
      <c r="I897" s="5" t="n"/>
      <c r="J897" s="5" t="n"/>
      <c r="K897" s="6" t="n"/>
      <c r="L897" s="6" t="n"/>
      <c r="M897" s="6" t="n"/>
      <c r="N897" s="5" t="n"/>
      <c r="O897" s="21" t="n"/>
      <c r="P897" s="5" t="n"/>
      <c r="Q897" s="5" t="n"/>
      <c r="R897" s="6" t="n"/>
      <c r="S897" s="4" t="n"/>
      <c r="T897" s="4" t="n"/>
      <c r="U897" s="3">
        <f>IF(C897="","",IF(T897="",TODAY()-C897,T897-C897))</f>
        <v/>
      </c>
      <c r="V897" s="5" t="n"/>
      <c r="W897" s="6" t="n"/>
      <c r="X897" s="3">
        <f>IF(P897="","",IFERROR(VLOOKUP(P897,Parâmetros!$J$2:$K$5,2,FALSE),""))</f>
        <v/>
      </c>
      <c r="Y897" s="4">
        <f>IF(OR(C897="",X897=""),"",C897+X897)</f>
        <v/>
      </c>
      <c r="Z897" s="5">
        <f>IF(C897="","",IF(Q897="Concluído","Concluído",IF(Y897&lt;TODAY(),"Vencido",IF(Y897-TODAY()&lt;=2,"A vencer","No prazo"))))</f>
        <v/>
      </c>
      <c r="AA897" s="3">
        <f>IF(OR(Y897="",Q897="Concluído"),"",Y897-TODAY())</f>
        <v/>
      </c>
      <c r="AB897" s="5" t="n"/>
      <c r="AC897" s="5" t="n"/>
      <c r="AD897" s="4" t="n"/>
    </row>
    <row r="898">
      <c r="A898" s="3">
        <f>IF(C898="","",ROW()-1)</f>
        <v/>
      </c>
      <c r="B898" s="4" t="n"/>
      <c r="C898" s="4" t="n"/>
      <c r="D898" s="5" t="n"/>
      <c r="E898" s="5" t="n"/>
      <c r="F898" s="5" t="n"/>
      <c r="G898" s="5" t="n"/>
      <c r="H898" s="5" t="n"/>
      <c r="I898" s="5" t="n"/>
      <c r="J898" s="5" t="n"/>
      <c r="K898" s="6" t="n"/>
      <c r="L898" s="6" t="n"/>
      <c r="M898" s="6" t="n"/>
      <c r="N898" s="5" t="n"/>
      <c r="O898" s="21" t="n"/>
      <c r="P898" s="5" t="n"/>
      <c r="Q898" s="5" t="n"/>
      <c r="R898" s="6" t="n"/>
      <c r="S898" s="4" t="n"/>
      <c r="T898" s="4" t="n"/>
      <c r="U898" s="3">
        <f>IF(C898="","",IF(T898="",TODAY()-C898,T898-C898))</f>
        <v/>
      </c>
      <c r="V898" s="5" t="n"/>
      <c r="W898" s="6" t="n"/>
      <c r="X898" s="3">
        <f>IF(P898="","",IFERROR(VLOOKUP(P898,Parâmetros!$J$2:$K$5,2,FALSE),""))</f>
        <v/>
      </c>
      <c r="Y898" s="4">
        <f>IF(OR(C898="",X898=""),"",C898+X898)</f>
        <v/>
      </c>
      <c r="Z898" s="5">
        <f>IF(C898="","",IF(Q898="Concluído","Concluído",IF(Y898&lt;TODAY(),"Vencido",IF(Y898-TODAY()&lt;=2,"A vencer","No prazo"))))</f>
        <v/>
      </c>
      <c r="AA898" s="3">
        <f>IF(OR(Y898="",Q898="Concluído"),"",Y898-TODAY())</f>
        <v/>
      </c>
      <c r="AB898" s="5" t="n"/>
      <c r="AC898" s="5" t="n"/>
      <c r="AD898" s="4" t="n"/>
    </row>
    <row r="899">
      <c r="A899" s="3">
        <f>IF(C899="","",ROW()-1)</f>
        <v/>
      </c>
      <c r="B899" s="4" t="n"/>
      <c r="C899" s="4" t="n"/>
      <c r="D899" s="5" t="n"/>
      <c r="E899" s="5" t="n"/>
      <c r="F899" s="5" t="n"/>
      <c r="G899" s="5" t="n"/>
      <c r="H899" s="5" t="n"/>
      <c r="I899" s="5" t="n"/>
      <c r="J899" s="5" t="n"/>
      <c r="K899" s="6" t="n"/>
      <c r="L899" s="6" t="n"/>
      <c r="M899" s="6" t="n"/>
      <c r="N899" s="5" t="n"/>
      <c r="O899" s="21" t="n"/>
      <c r="P899" s="5" t="n"/>
      <c r="Q899" s="5" t="n"/>
      <c r="R899" s="6" t="n"/>
      <c r="S899" s="4" t="n"/>
      <c r="T899" s="4" t="n"/>
      <c r="U899" s="3">
        <f>IF(C899="","",IF(T899="",TODAY()-C899,T899-C899))</f>
        <v/>
      </c>
      <c r="V899" s="5" t="n"/>
      <c r="W899" s="6" t="n"/>
      <c r="X899" s="3">
        <f>IF(P899="","",IFERROR(VLOOKUP(P899,Parâmetros!$J$2:$K$5,2,FALSE),""))</f>
        <v/>
      </c>
      <c r="Y899" s="4">
        <f>IF(OR(C899="",X899=""),"",C899+X899)</f>
        <v/>
      </c>
      <c r="Z899" s="5">
        <f>IF(C899="","",IF(Q899="Concluído","Concluído",IF(Y899&lt;TODAY(),"Vencido",IF(Y899-TODAY()&lt;=2,"A vencer","No prazo"))))</f>
        <v/>
      </c>
      <c r="AA899" s="3">
        <f>IF(OR(Y899="",Q899="Concluído"),"",Y899-TODAY())</f>
        <v/>
      </c>
      <c r="AB899" s="5" t="n"/>
      <c r="AC899" s="5" t="n"/>
      <c r="AD899" s="4" t="n"/>
    </row>
    <row r="900">
      <c r="A900" s="3">
        <f>IF(C900="","",ROW()-1)</f>
        <v/>
      </c>
      <c r="B900" s="4" t="n"/>
      <c r="C900" s="4" t="n"/>
      <c r="D900" s="5" t="n"/>
      <c r="E900" s="5" t="n"/>
      <c r="F900" s="5" t="n"/>
      <c r="G900" s="5" t="n"/>
      <c r="H900" s="5" t="n"/>
      <c r="I900" s="5" t="n"/>
      <c r="J900" s="5" t="n"/>
      <c r="K900" s="6" t="n"/>
      <c r="L900" s="6" t="n"/>
      <c r="M900" s="6" t="n"/>
      <c r="N900" s="5" t="n"/>
      <c r="O900" s="21" t="n"/>
      <c r="P900" s="5" t="n"/>
      <c r="Q900" s="5" t="n"/>
      <c r="R900" s="6" t="n"/>
      <c r="S900" s="4" t="n"/>
      <c r="T900" s="4" t="n"/>
      <c r="U900" s="3">
        <f>IF(C900="","",IF(T900="",TODAY()-C900,T900-C900))</f>
        <v/>
      </c>
      <c r="V900" s="5" t="n"/>
      <c r="W900" s="6" t="n"/>
      <c r="X900" s="3">
        <f>IF(P900="","",IFERROR(VLOOKUP(P900,Parâmetros!$J$2:$K$5,2,FALSE),""))</f>
        <v/>
      </c>
      <c r="Y900" s="4">
        <f>IF(OR(C900="",X900=""),"",C900+X900)</f>
        <v/>
      </c>
      <c r="Z900" s="5">
        <f>IF(C900="","",IF(Q900="Concluído","Concluído",IF(Y900&lt;TODAY(),"Vencido",IF(Y900-TODAY()&lt;=2,"A vencer","No prazo"))))</f>
        <v/>
      </c>
      <c r="AA900" s="3">
        <f>IF(OR(Y900="",Q900="Concluído"),"",Y900-TODAY())</f>
        <v/>
      </c>
      <c r="AB900" s="5" t="n"/>
      <c r="AC900" s="5" t="n"/>
      <c r="AD900" s="4" t="n"/>
    </row>
    <row r="901">
      <c r="A901" s="3">
        <f>IF(C901="","",ROW()-1)</f>
        <v/>
      </c>
      <c r="B901" s="4" t="n"/>
      <c r="C901" s="4" t="n"/>
      <c r="D901" s="5" t="n"/>
      <c r="E901" s="5" t="n"/>
      <c r="F901" s="5" t="n"/>
      <c r="G901" s="5" t="n"/>
      <c r="H901" s="5" t="n"/>
      <c r="I901" s="5" t="n"/>
      <c r="J901" s="5" t="n"/>
      <c r="K901" s="6" t="n"/>
      <c r="L901" s="6" t="n"/>
      <c r="M901" s="6" t="n"/>
      <c r="N901" s="5" t="n"/>
      <c r="O901" s="21" t="n"/>
      <c r="P901" s="5" t="n"/>
      <c r="Q901" s="5" t="n"/>
      <c r="R901" s="6" t="n"/>
      <c r="S901" s="4" t="n"/>
      <c r="T901" s="4" t="n"/>
      <c r="U901" s="3">
        <f>IF(C901="","",IF(T901="",TODAY()-C901,T901-C901))</f>
        <v/>
      </c>
      <c r="V901" s="5" t="n"/>
      <c r="W901" s="6" t="n"/>
      <c r="X901" s="3">
        <f>IF(P901="","",IFERROR(VLOOKUP(P901,Parâmetros!$J$2:$K$5,2,FALSE),""))</f>
        <v/>
      </c>
      <c r="Y901" s="4">
        <f>IF(OR(C901="",X901=""),"",C901+X901)</f>
        <v/>
      </c>
      <c r="Z901" s="5">
        <f>IF(C901="","",IF(Q901="Concluído","Concluído",IF(Y901&lt;TODAY(),"Vencido",IF(Y901-TODAY()&lt;=2,"A vencer","No prazo"))))</f>
        <v/>
      </c>
      <c r="AA901" s="3">
        <f>IF(OR(Y901="",Q901="Concluído"),"",Y901-TODAY())</f>
        <v/>
      </c>
      <c r="AB901" s="5" t="n"/>
      <c r="AC901" s="5" t="n"/>
      <c r="AD901" s="4" t="n"/>
    </row>
    <row r="902">
      <c r="A902" s="3">
        <f>IF(C902="","",ROW()-1)</f>
        <v/>
      </c>
      <c r="B902" s="4" t="n"/>
      <c r="C902" s="4" t="n"/>
      <c r="D902" s="5" t="n"/>
      <c r="E902" s="5" t="n"/>
      <c r="F902" s="5" t="n"/>
      <c r="G902" s="5" t="n"/>
      <c r="H902" s="5" t="n"/>
      <c r="I902" s="5" t="n"/>
      <c r="J902" s="5" t="n"/>
      <c r="K902" s="6" t="n"/>
      <c r="L902" s="6" t="n"/>
      <c r="M902" s="6" t="n"/>
      <c r="N902" s="5" t="n"/>
      <c r="O902" s="21" t="n"/>
      <c r="P902" s="5" t="n"/>
      <c r="Q902" s="5" t="n"/>
      <c r="R902" s="6" t="n"/>
      <c r="S902" s="4" t="n"/>
      <c r="T902" s="4" t="n"/>
      <c r="U902" s="3">
        <f>IF(C902="","",IF(T902="",TODAY()-C902,T902-C902))</f>
        <v/>
      </c>
      <c r="V902" s="5" t="n"/>
      <c r="W902" s="6" t="n"/>
      <c r="X902" s="3">
        <f>IF(P902="","",IFERROR(VLOOKUP(P902,Parâmetros!$J$2:$K$5,2,FALSE),""))</f>
        <v/>
      </c>
      <c r="Y902" s="4">
        <f>IF(OR(C902="",X902=""),"",C902+X902)</f>
        <v/>
      </c>
      <c r="Z902" s="5">
        <f>IF(C902="","",IF(Q902="Concluído","Concluído",IF(Y902&lt;TODAY(),"Vencido",IF(Y902-TODAY()&lt;=2,"A vencer","No prazo"))))</f>
        <v/>
      </c>
      <c r="AA902" s="3">
        <f>IF(OR(Y902="",Q902="Concluído"),"",Y902-TODAY())</f>
        <v/>
      </c>
      <c r="AB902" s="5" t="n"/>
      <c r="AC902" s="5" t="n"/>
      <c r="AD902" s="4" t="n"/>
    </row>
    <row r="903">
      <c r="A903" s="3">
        <f>IF(C903="","",ROW()-1)</f>
        <v/>
      </c>
      <c r="B903" s="4" t="n"/>
      <c r="C903" s="4" t="n"/>
      <c r="D903" s="5" t="n"/>
      <c r="E903" s="5" t="n"/>
      <c r="F903" s="5" t="n"/>
      <c r="G903" s="5" t="n"/>
      <c r="H903" s="5" t="n"/>
      <c r="I903" s="5" t="n"/>
      <c r="J903" s="5" t="n"/>
      <c r="K903" s="6" t="n"/>
      <c r="L903" s="6" t="n"/>
      <c r="M903" s="6" t="n"/>
      <c r="N903" s="5" t="n"/>
      <c r="O903" s="21" t="n"/>
      <c r="P903" s="5" t="n"/>
      <c r="Q903" s="5" t="n"/>
      <c r="R903" s="6" t="n"/>
      <c r="S903" s="4" t="n"/>
      <c r="T903" s="4" t="n"/>
      <c r="U903" s="3">
        <f>IF(C903="","",IF(T903="",TODAY()-C903,T903-C903))</f>
        <v/>
      </c>
      <c r="V903" s="5" t="n"/>
      <c r="W903" s="6" t="n"/>
      <c r="X903" s="3">
        <f>IF(P903="","",IFERROR(VLOOKUP(P903,Parâmetros!$J$2:$K$5,2,FALSE),""))</f>
        <v/>
      </c>
      <c r="Y903" s="4">
        <f>IF(OR(C903="",X903=""),"",C903+X903)</f>
        <v/>
      </c>
      <c r="Z903" s="5">
        <f>IF(C903="","",IF(Q903="Concluído","Concluído",IF(Y903&lt;TODAY(),"Vencido",IF(Y903-TODAY()&lt;=2,"A vencer","No prazo"))))</f>
        <v/>
      </c>
      <c r="AA903" s="3">
        <f>IF(OR(Y903="",Q903="Concluído"),"",Y903-TODAY())</f>
        <v/>
      </c>
      <c r="AB903" s="5" t="n"/>
      <c r="AC903" s="5" t="n"/>
      <c r="AD903" s="4" t="n"/>
    </row>
    <row r="904">
      <c r="A904" s="3">
        <f>IF(C904="","",ROW()-1)</f>
        <v/>
      </c>
      <c r="B904" s="4" t="n"/>
      <c r="C904" s="4" t="n"/>
      <c r="D904" s="5" t="n"/>
      <c r="E904" s="5" t="n"/>
      <c r="F904" s="5" t="n"/>
      <c r="G904" s="5" t="n"/>
      <c r="H904" s="5" t="n"/>
      <c r="I904" s="5" t="n"/>
      <c r="J904" s="5" t="n"/>
      <c r="K904" s="6" t="n"/>
      <c r="L904" s="6" t="n"/>
      <c r="M904" s="6" t="n"/>
      <c r="N904" s="5" t="n"/>
      <c r="O904" s="21" t="n"/>
      <c r="P904" s="5" t="n"/>
      <c r="Q904" s="5" t="n"/>
      <c r="R904" s="6" t="n"/>
      <c r="S904" s="4" t="n"/>
      <c r="T904" s="4" t="n"/>
      <c r="U904" s="3">
        <f>IF(C904="","",IF(T904="",TODAY()-C904,T904-C904))</f>
        <v/>
      </c>
      <c r="V904" s="5" t="n"/>
      <c r="W904" s="6" t="n"/>
      <c r="X904" s="3">
        <f>IF(P904="","",IFERROR(VLOOKUP(P904,Parâmetros!$J$2:$K$5,2,FALSE),""))</f>
        <v/>
      </c>
      <c r="Y904" s="4">
        <f>IF(OR(C904="",X904=""),"",C904+X904)</f>
        <v/>
      </c>
      <c r="Z904" s="5">
        <f>IF(C904="","",IF(Q904="Concluído","Concluído",IF(Y904&lt;TODAY(),"Vencido",IF(Y904-TODAY()&lt;=2,"A vencer","No prazo"))))</f>
        <v/>
      </c>
      <c r="AA904" s="3">
        <f>IF(OR(Y904="",Q904="Concluído"),"",Y904-TODAY())</f>
        <v/>
      </c>
      <c r="AB904" s="5" t="n"/>
      <c r="AC904" s="5" t="n"/>
      <c r="AD904" s="4" t="n"/>
    </row>
    <row r="905">
      <c r="A905" s="3">
        <f>IF(C905="","",ROW()-1)</f>
        <v/>
      </c>
      <c r="B905" s="4" t="n"/>
      <c r="C905" s="4" t="n"/>
      <c r="D905" s="5" t="n"/>
      <c r="E905" s="5" t="n"/>
      <c r="F905" s="5" t="n"/>
      <c r="G905" s="5" t="n"/>
      <c r="H905" s="5" t="n"/>
      <c r="I905" s="5" t="n"/>
      <c r="J905" s="5" t="n"/>
      <c r="K905" s="6" t="n"/>
      <c r="L905" s="6" t="n"/>
      <c r="M905" s="6" t="n"/>
      <c r="N905" s="5" t="n"/>
      <c r="O905" s="21" t="n"/>
      <c r="P905" s="5" t="n"/>
      <c r="Q905" s="5" t="n"/>
      <c r="R905" s="6" t="n"/>
      <c r="S905" s="4" t="n"/>
      <c r="T905" s="4" t="n"/>
      <c r="U905" s="3">
        <f>IF(C905="","",IF(T905="",TODAY()-C905,T905-C905))</f>
        <v/>
      </c>
      <c r="V905" s="5" t="n"/>
      <c r="W905" s="6" t="n"/>
      <c r="X905" s="3">
        <f>IF(P905="","",IFERROR(VLOOKUP(P905,Parâmetros!$J$2:$K$5,2,FALSE),""))</f>
        <v/>
      </c>
      <c r="Y905" s="4">
        <f>IF(OR(C905="",X905=""),"",C905+X905)</f>
        <v/>
      </c>
      <c r="Z905" s="5">
        <f>IF(C905="","",IF(Q905="Concluído","Concluído",IF(Y905&lt;TODAY(),"Vencido",IF(Y905-TODAY()&lt;=2,"A vencer","No prazo"))))</f>
        <v/>
      </c>
      <c r="AA905" s="3">
        <f>IF(OR(Y905="",Q905="Concluído"),"",Y905-TODAY())</f>
        <v/>
      </c>
      <c r="AB905" s="5" t="n"/>
      <c r="AC905" s="5" t="n"/>
      <c r="AD905" s="4" t="n"/>
    </row>
    <row r="906">
      <c r="A906" s="3">
        <f>IF(C906="","",ROW()-1)</f>
        <v/>
      </c>
      <c r="B906" s="4" t="n"/>
      <c r="C906" s="4" t="n"/>
      <c r="D906" s="5" t="n"/>
      <c r="E906" s="5" t="n"/>
      <c r="F906" s="5" t="n"/>
      <c r="G906" s="5" t="n"/>
      <c r="H906" s="5" t="n"/>
      <c r="I906" s="5" t="n"/>
      <c r="J906" s="5" t="n"/>
      <c r="K906" s="6" t="n"/>
      <c r="L906" s="6" t="n"/>
      <c r="M906" s="6" t="n"/>
      <c r="N906" s="5" t="n"/>
      <c r="O906" s="21" t="n"/>
      <c r="P906" s="5" t="n"/>
      <c r="Q906" s="5" t="n"/>
      <c r="R906" s="6" t="n"/>
      <c r="S906" s="4" t="n"/>
      <c r="T906" s="4" t="n"/>
      <c r="U906" s="3">
        <f>IF(C906="","",IF(T906="",TODAY()-C906,T906-C906))</f>
        <v/>
      </c>
      <c r="V906" s="5" t="n"/>
      <c r="W906" s="6" t="n"/>
      <c r="X906" s="3">
        <f>IF(P906="","",IFERROR(VLOOKUP(P906,Parâmetros!$J$2:$K$5,2,FALSE),""))</f>
        <v/>
      </c>
      <c r="Y906" s="4">
        <f>IF(OR(C906="",X906=""),"",C906+X906)</f>
        <v/>
      </c>
      <c r="Z906" s="5">
        <f>IF(C906="","",IF(Q906="Concluído","Concluído",IF(Y906&lt;TODAY(),"Vencido",IF(Y906-TODAY()&lt;=2,"A vencer","No prazo"))))</f>
        <v/>
      </c>
      <c r="AA906" s="3">
        <f>IF(OR(Y906="",Q906="Concluído"),"",Y906-TODAY())</f>
        <v/>
      </c>
      <c r="AB906" s="5" t="n"/>
      <c r="AC906" s="5" t="n"/>
      <c r="AD906" s="4" t="n"/>
    </row>
    <row r="907">
      <c r="A907" s="3">
        <f>IF(C907="","",ROW()-1)</f>
        <v/>
      </c>
      <c r="B907" s="4" t="n"/>
      <c r="C907" s="4" t="n"/>
      <c r="D907" s="5" t="n"/>
      <c r="E907" s="5" t="n"/>
      <c r="F907" s="5" t="n"/>
      <c r="G907" s="5" t="n"/>
      <c r="H907" s="5" t="n"/>
      <c r="I907" s="5" t="n"/>
      <c r="J907" s="5" t="n"/>
      <c r="K907" s="6" t="n"/>
      <c r="L907" s="6" t="n"/>
      <c r="M907" s="6" t="n"/>
      <c r="N907" s="5" t="n"/>
      <c r="O907" s="21" t="n"/>
      <c r="P907" s="5" t="n"/>
      <c r="Q907" s="5" t="n"/>
      <c r="R907" s="6" t="n"/>
      <c r="S907" s="4" t="n"/>
      <c r="T907" s="4" t="n"/>
      <c r="U907" s="3">
        <f>IF(C907="","",IF(T907="",TODAY()-C907,T907-C907))</f>
        <v/>
      </c>
      <c r="V907" s="5" t="n"/>
      <c r="W907" s="6" t="n"/>
      <c r="X907" s="3">
        <f>IF(P907="","",IFERROR(VLOOKUP(P907,Parâmetros!$J$2:$K$5,2,FALSE),""))</f>
        <v/>
      </c>
      <c r="Y907" s="4">
        <f>IF(OR(C907="",X907=""),"",C907+X907)</f>
        <v/>
      </c>
      <c r="Z907" s="5">
        <f>IF(C907="","",IF(Q907="Concluído","Concluído",IF(Y907&lt;TODAY(),"Vencido",IF(Y907-TODAY()&lt;=2,"A vencer","No prazo"))))</f>
        <v/>
      </c>
      <c r="AA907" s="3">
        <f>IF(OR(Y907="",Q907="Concluído"),"",Y907-TODAY())</f>
        <v/>
      </c>
      <c r="AB907" s="5" t="n"/>
      <c r="AC907" s="5" t="n"/>
      <c r="AD907" s="4" t="n"/>
    </row>
    <row r="908">
      <c r="A908" s="3">
        <f>IF(C908="","",ROW()-1)</f>
        <v/>
      </c>
      <c r="B908" s="4" t="n"/>
      <c r="C908" s="4" t="n"/>
      <c r="D908" s="5" t="n"/>
      <c r="E908" s="5" t="n"/>
      <c r="F908" s="5" t="n"/>
      <c r="G908" s="5" t="n"/>
      <c r="H908" s="5" t="n"/>
      <c r="I908" s="5" t="n"/>
      <c r="J908" s="5" t="n"/>
      <c r="K908" s="6" t="n"/>
      <c r="L908" s="6" t="n"/>
      <c r="M908" s="6" t="n"/>
      <c r="N908" s="5" t="n"/>
      <c r="O908" s="21" t="n"/>
      <c r="P908" s="5" t="n"/>
      <c r="Q908" s="5" t="n"/>
      <c r="R908" s="6" t="n"/>
      <c r="S908" s="4" t="n"/>
      <c r="T908" s="4" t="n"/>
      <c r="U908" s="3">
        <f>IF(C908="","",IF(T908="",TODAY()-C908,T908-C908))</f>
        <v/>
      </c>
      <c r="V908" s="5" t="n"/>
      <c r="W908" s="6" t="n"/>
      <c r="X908" s="3">
        <f>IF(P908="","",IFERROR(VLOOKUP(P908,Parâmetros!$J$2:$K$5,2,FALSE),""))</f>
        <v/>
      </c>
      <c r="Y908" s="4">
        <f>IF(OR(C908="",X908=""),"",C908+X908)</f>
        <v/>
      </c>
      <c r="Z908" s="5">
        <f>IF(C908="","",IF(Q908="Concluído","Concluído",IF(Y908&lt;TODAY(),"Vencido",IF(Y908-TODAY()&lt;=2,"A vencer","No prazo"))))</f>
        <v/>
      </c>
      <c r="AA908" s="3">
        <f>IF(OR(Y908="",Q908="Concluído"),"",Y908-TODAY())</f>
        <v/>
      </c>
      <c r="AB908" s="5" t="n"/>
      <c r="AC908" s="5" t="n"/>
      <c r="AD908" s="4" t="n"/>
    </row>
    <row r="909">
      <c r="A909" s="3">
        <f>IF(C909="","",ROW()-1)</f>
        <v/>
      </c>
      <c r="B909" s="4" t="n"/>
      <c r="C909" s="4" t="n"/>
      <c r="D909" s="5" t="n"/>
      <c r="E909" s="5" t="n"/>
      <c r="F909" s="5" t="n"/>
      <c r="G909" s="5" t="n"/>
      <c r="H909" s="5" t="n"/>
      <c r="I909" s="5" t="n"/>
      <c r="J909" s="5" t="n"/>
      <c r="K909" s="6" t="n"/>
      <c r="L909" s="6" t="n"/>
      <c r="M909" s="6" t="n"/>
      <c r="N909" s="5" t="n"/>
      <c r="O909" s="21" t="n"/>
      <c r="P909" s="5" t="n"/>
      <c r="Q909" s="5" t="n"/>
      <c r="R909" s="6" t="n"/>
      <c r="S909" s="4" t="n"/>
      <c r="T909" s="4" t="n"/>
      <c r="U909" s="3">
        <f>IF(C909="","",IF(T909="",TODAY()-C909,T909-C909))</f>
        <v/>
      </c>
      <c r="V909" s="5" t="n"/>
      <c r="W909" s="6" t="n"/>
      <c r="X909" s="3">
        <f>IF(P909="","",IFERROR(VLOOKUP(P909,Parâmetros!$J$2:$K$5,2,FALSE),""))</f>
        <v/>
      </c>
      <c r="Y909" s="4">
        <f>IF(OR(C909="",X909=""),"",C909+X909)</f>
        <v/>
      </c>
      <c r="Z909" s="5">
        <f>IF(C909="","",IF(Q909="Concluído","Concluído",IF(Y909&lt;TODAY(),"Vencido",IF(Y909-TODAY()&lt;=2,"A vencer","No prazo"))))</f>
        <v/>
      </c>
      <c r="AA909" s="3">
        <f>IF(OR(Y909="",Q909="Concluído"),"",Y909-TODAY())</f>
        <v/>
      </c>
      <c r="AB909" s="5" t="n"/>
      <c r="AC909" s="5" t="n"/>
      <c r="AD909" s="4" t="n"/>
    </row>
    <row r="910">
      <c r="A910" s="3">
        <f>IF(C910="","",ROW()-1)</f>
        <v/>
      </c>
      <c r="B910" s="4" t="n"/>
      <c r="C910" s="4" t="n"/>
      <c r="D910" s="5" t="n"/>
      <c r="E910" s="5" t="n"/>
      <c r="F910" s="5" t="n"/>
      <c r="G910" s="5" t="n"/>
      <c r="H910" s="5" t="n"/>
      <c r="I910" s="5" t="n"/>
      <c r="J910" s="5" t="n"/>
      <c r="K910" s="6" t="n"/>
      <c r="L910" s="6" t="n"/>
      <c r="M910" s="6" t="n"/>
      <c r="N910" s="5" t="n"/>
      <c r="O910" s="21" t="n"/>
      <c r="P910" s="5" t="n"/>
      <c r="Q910" s="5" t="n"/>
      <c r="R910" s="6" t="n"/>
      <c r="S910" s="4" t="n"/>
      <c r="T910" s="4" t="n"/>
      <c r="U910" s="3">
        <f>IF(C910="","",IF(T910="",TODAY()-C910,T910-C910))</f>
        <v/>
      </c>
      <c r="V910" s="5" t="n"/>
      <c r="W910" s="6" t="n"/>
      <c r="X910" s="3">
        <f>IF(P910="","",IFERROR(VLOOKUP(P910,Parâmetros!$J$2:$K$5,2,FALSE),""))</f>
        <v/>
      </c>
      <c r="Y910" s="4">
        <f>IF(OR(C910="",X910=""),"",C910+X910)</f>
        <v/>
      </c>
      <c r="Z910" s="5">
        <f>IF(C910="","",IF(Q910="Concluído","Concluído",IF(Y910&lt;TODAY(),"Vencido",IF(Y910-TODAY()&lt;=2,"A vencer","No prazo"))))</f>
        <v/>
      </c>
      <c r="AA910" s="3">
        <f>IF(OR(Y910="",Q910="Concluído"),"",Y910-TODAY())</f>
        <v/>
      </c>
      <c r="AB910" s="5" t="n"/>
      <c r="AC910" s="5" t="n"/>
      <c r="AD910" s="4" t="n"/>
    </row>
    <row r="911">
      <c r="A911" s="3">
        <f>IF(C911="","",ROW()-1)</f>
        <v/>
      </c>
      <c r="B911" s="4" t="n"/>
      <c r="C911" s="4" t="n"/>
      <c r="D911" s="5" t="n"/>
      <c r="E911" s="5" t="n"/>
      <c r="F911" s="5" t="n"/>
      <c r="G911" s="5" t="n"/>
      <c r="H911" s="5" t="n"/>
      <c r="I911" s="5" t="n"/>
      <c r="J911" s="5" t="n"/>
      <c r="K911" s="6" t="n"/>
      <c r="L911" s="6" t="n"/>
      <c r="M911" s="6" t="n"/>
      <c r="N911" s="5" t="n"/>
      <c r="O911" s="21" t="n"/>
      <c r="P911" s="5" t="n"/>
      <c r="Q911" s="5" t="n"/>
      <c r="R911" s="6" t="n"/>
      <c r="S911" s="4" t="n"/>
      <c r="T911" s="4" t="n"/>
      <c r="U911" s="3">
        <f>IF(C911="","",IF(T911="",TODAY()-C911,T911-C911))</f>
        <v/>
      </c>
      <c r="V911" s="5" t="n"/>
      <c r="W911" s="6" t="n"/>
      <c r="X911" s="3">
        <f>IF(P911="","",IFERROR(VLOOKUP(P911,Parâmetros!$J$2:$K$5,2,FALSE),""))</f>
        <v/>
      </c>
      <c r="Y911" s="4">
        <f>IF(OR(C911="",X911=""),"",C911+X911)</f>
        <v/>
      </c>
      <c r="Z911" s="5">
        <f>IF(C911="","",IF(Q911="Concluído","Concluído",IF(Y911&lt;TODAY(),"Vencido",IF(Y911-TODAY()&lt;=2,"A vencer","No prazo"))))</f>
        <v/>
      </c>
      <c r="AA911" s="3">
        <f>IF(OR(Y911="",Q911="Concluído"),"",Y911-TODAY())</f>
        <v/>
      </c>
      <c r="AB911" s="5" t="n"/>
      <c r="AC911" s="5" t="n"/>
      <c r="AD911" s="4" t="n"/>
    </row>
    <row r="912">
      <c r="A912" s="3">
        <f>IF(C912="","",ROW()-1)</f>
        <v/>
      </c>
      <c r="B912" s="4" t="n"/>
      <c r="C912" s="4" t="n"/>
      <c r="D912" s="5" t="n"/>
      <c r="E912" s="5" t="n"/>
      <c r="F912" s="5" t="n"/>
      <c r="G912" s="5" t="n"/>
      <c r="H912" s="5" t="n"/>
      <c r="I912" s="5" t="n"/>
      <c r="J912" s="5" t="n"/>
      <c r="K912" s="6" t="n"/>
      <c r="L912" s="6" t="n"/>
      <c r="M912" s="6" t="n"/>
      <c r="N912" s="5" t="n"/>
      <c r="O912" s="21" t="n"/>
      <c r="P912" s="5" t="n"/>
      <c r="Q912" s="5" t="n"/>
      <c r="R912" s="6" t="n"/>
      <c r="S912" s="4" t="n"/>
      <c r="T912" s="4" t="n"/>
      <c r="U912" s="3">
        <f>IF(C912="","",IF(T912="",TODAY()-C912,T912-C912))</f>
        <v/>
      </c>
      <c r="V912" s="5" t="n"/>
      <c r="W912" s="6" t="n"/>
      <c r="X912" s="3">
        <f>IF(P912="","",IFERROR(VLOOKUP(P912,Parâmetros!$J$2:$K$5,2,FALSE),""))</f>
        <v/>
      </c>
      <c r="Y912" s="4">
        <f>IF(OR(C912="",X912=""),"",C912+X912)</f>
        <v/>
      </c>
      <c r="Z912" s="5">
        <f>IF(C912="","",IF(Q912="Concluído","Concluído",IF(Y912&lt;TODAY(),"Vencido",IF(Y912-TODAY()&lt;=2,"A vencer","No prazo"))))</f>
        <v/>
      </c>
      <c r="AA912" s="3">
        <f>IF(OR(Y912="",Q912="Concluído"),"",Y912-TODAY())</f>
        <v/>
      </c>
      <c r="AB912" s="5" t="n"/>
      <c r="AC912" s="5" t="n"/>
      <c r="AD912" s="4" t="n"/>
    </row>
    <row r="913">
      <c r="A913" s="3">
        <f>IF(C913="","",ROW()-1)</f>
        <v/>
      </c>
      <c r="B913" s="4" t="n"/>
      <c r="C913" s="4" t="n"/>
      <c r="D913" s="5" t="n"/>
      <c r="E913" s="5" t="n"/>
      <c r="F913" s="5" t="n"/>
      <c r="G913" s="5" t="n"/>
      <c r="H913" s="5" t="n"/>
      <c r="I913" s="5" t="n"/>
      <c r="J913" s="5" t="n"/>
      <c r="K913" s="6" t="n"/>
      <c r="L913" s="6" t="n"/>
      <c r="M913" s="6" t="n"/>
      <c r="N913" s="5" t="n"/>
      <c r="O913" s="21" t="n"/>
      <c r="P913" s="5" t="n"/>
      <c r="Q913" s="5" t="n"/>
      <c r="R913" s="6" t="n"/>
      <c r="S913" s="4" t="n"/>
      <c r="T913" s="4" t="n"/>
      <c r="U913" s="3">
        <f>IF(C913="","",IF(T913="",TODAY()-C913,T913-C913))</f>
        <v/>
      </c>
      <c r="V913" s="5" t="n"/>
      <c r="W913" s="6" t="n"/>
      <c r="X913" s="3">
        <f>IF(P913="","",IFERROR(VLOOKUP(P913,Parâmetros!$J$2:$K$5,2,FALSE),""))</f>
        <v/>
      </c>
      <c r="Y913" s="4">
        <f>IF(OR(C913="",X913=""),"",C913+X913)</f>
        <v/>
      </c>
      <c r="Z913" s="5">
        <f>IF(C913="","",IF(Q913="Concluído","Concluído",IF(Y913&lt;TODAY(),"Vencido",IF(Y913-TODAY()&lt;=2,"A vencer","No prazo"))))</f>
        <v/>
      </c>
      <c r="AA913" s="3">
        <f>IF(OR(Y913="",Q913="Concluído"),"",Y913-TODAY())</f>
        <v/>
      </c>
      <c r="AB913" s="5" t="n"/>
      <c r="AC913" s="5" t="n"/>
      <c r="AD913" s="4" t="n"/>
    </row>
    <row r="914">
      <c r="A914" s="3">
        <f>IF(C914="","",ROW()-1)</f>
        <v/>
      </c>
      <c r="B914" s="4" t="n"/>
      <c r="C914" s="4" t="n"/>
      <c r="D914" s="5" t="n"/>
      <c r="E914" s="5" t="n"/>
      <c r="F914" s="5" t="n"/>
      <c r="G914" s="5" t="n"/>
      <c r="H914" s="5" t="n"/>
      <c r="I914" s="5" t="n"/>
      <c r="J914" s="5" t="n"/>
      <c r="K914" s="6" t="n"/>
      <c r="L914" s="6" t="n"/>
      <c r="M914" s="6" t="n"/>
      <c r="N914" s="5" t="n"/>
      <c r="O914" s="21" t="n"/>
      <c r="P914" s="5" t="n"/>
      <c r="Q914" s="5" t="n"/>
      <c r="R914" s="6" t="n"/>
      <c r="S914" s="4" t="n"/>
      <c r="T914" s="4" t="n"/>
      <c r="U914" s="3">
        <f>IF(C914="","",IF(T914="",TODAY()-C914,T914-C914))</f>
        <v/>
      </c>
      <c r="V914" s="5" t="n"/>
      <c r="W914" s="6" t="n"/>
      <c r="X914" s="3">
        <f>IF(P914="","",IFERROR(VLOOKUP(P914,Parâmetros!$J$2:$K$5,2,FALSE),""))</f>
        <v/>
      </c>
      <c r="Y914" s="4">
        <f>IF(OR(C914="",X914=""),"",C914+X914)</f>
        <v/>
      </c>
      <c r="Z914" s="5">
        <f>IF(C914="","",IF(Q914="Concluído","Concluído",IF(Y914&lt;TODAY(),"Vencido",IF(Y914-TODAY()&lt;=2,"A vencer","No prazo"))))</f>
        <v/>
      </c>
      <c r="AA914" s="3">
        <f>IF(OR(Y914="",Q914="Concluído"),"",Y914-TODAY())</f>
        <v/>
      </c>
      <c r="AB914" s="5" t="n"/>
      <c r="AC914" s="5" t="n"/>
      <c r="AD914" s="4" t="n"/>
    </row>
    <row r="915">
      <c r="A915" s="3">
        <f>IF(C915="","",ROW()-1)</f>
        <v/>
      </c>
      <c r="B915" s="4" t="n"/>
      <c r="C915" s="4" t="n"/>
      <c r="D915" s="5" t="n"/>
      <c r="E915" s="5" t="n"/>
      <c r="F915" s="5" t="n"/>
      <c r="G915" s="5" t="n"/>
      <c r="H915" s="5" t="n"/>
      <c r="I915" s="5" t="n"/>
      <c r="J915" s="5" t="n"/>
      <c r="K915" s="6" t="n"/>
      <c r="L915" s="6" t="n"/>
      <c r="M915" s="6" t="n"/>
      <c r="N915" s="5" t="n"/>
      <c r="O915" s="21" t="n"/>
      <c r="P915" s="5" t="n"/>
      <c r="Q915" s="5" t="n"/>
      <c r="R915" s="6" t="n"/>
      <c r="S915" s="4" t="n"/>
      <c r="T915" s="4" t="n"/>
      <c r="U915" s="3">
        <f>IF(C915="","",IF(T915="",TODAY()-C915,T915-C915))</f>
        <v/>
      </c>
      <c r="V915" s="5" t="n"/>
      <c r="W915" s="6" t="n"/>
      <c r="X915" s="3">
        <f>IF(P915="","",IFERROR(VLOOKUP(P915,Parâmetros!$J$2:$K$5,2,FALSE),""))</f>
        <v/>
      </c>
      <c r="Y915" s="4">
        <f>IF(OR(C915="",X915=""),"",C915+X915)</f>
        <v/>
      </c>
      <c r="Z915" s="5">
        <f>IF(C915="","",IF(Q915="Concluído","Concluído",IF(Y915&lt;TODAY(),"Vencido",IF(Y915-TODAY()&lt;=2,"A vencer","No prazo"))))</f>
        <v/>
      </c>
      <c r="AA915" s="3">
        <f>IF(OR(Y915="",Q915="Concluído"),"",Y915-TODAY())</f>
        <v/>
      </c>
      <c r="AB915" s="5" t="n"/>
      <c r="AC915" s="5" t="n"/>
      <c r="AD915" s="4" t="n"/>
    </row>
    <row r="916">
      <c r="A916" s="3">
        <f>IF(C916="","",ROW()-1)</f>
        <v/>
      </c>
      <c r="B916" s="4" t="n"/>
      <c r="C916" s="4" t="n"/>
      <c r="D916" s="5" t="n"/>
      <c r="E916" s="5" t="n"/>
      <c r="F916" s="5" t="n"/>
      <c r="G916" s="5" t="n"/>
      <c r="H916" s="5" t="n"/>
      <c r="I916" s="5" t="n"/>
      <c r="J916" s="5" t="n"/>
      <c r="K916" s="6" t="n"/>
      <c r="L916" s="6" t="n"/>
      <c r="M916" s="6" t="n"/>
      <c r="N916" s="5" t="n"/>
      <c r="O916" s="21" t="n"/>
      <c r="P916" s="5" t="n"/>
      <c r="Q916" s="5" t="n"/>
      <c r="R916" s="6" t="n"/>
      <c r="S916" s="4" t="n"/>
      <c r="T916" s="4" t="n"/>
      <c r="U916" s="3">
        <f>IF(C916="","",IF(T916="",TODAY()-C916,T916-C916))</f>
        <v/>
      </c>
      <c r="V916" s="5" t="n"/>
      <c r="W916" s="6" t="n"/>
      <c r="X916" s="3">
        <f>IF(P916="","",IFERROR(VLOOKUP(P916,Parâmetros!$J$2:$K$5,2,FALSE),""))</f>
        <v/>
      </c>
      <c r="Y916" s="4">
        <f>IF(OR(C916="",X916=""),"",C916+X916)</f>
        <v/>
      </c>
      <c r="Z916" s="5">
        <f>IF(C916="","",IF(Q916="Concluído","Concluído",IF(Y916&lt;TODAY(),"Vencido",IF(Y916-TODAY()&lt;=2,"A vencer","No prazo"))))</f>
        <v/>
      </c>
      <c r="AA916" s="3">
        <f>IF(OR(Y916="",Q916="Concluído"),"",Y916-TODAY())</f>
        <v/>
      </c>
      <c r="AB916" s="5" t="n"/>
      <c r="AC916" s="5" t="n"/>
      <c r="AD916" s="4" t="n"/>
    </row>
    <row r="917">
      <c r="A917" s="3">
        <f>IF(C917="","",ROW()-1)</f>
        <v/>
      </c>
      <c r="B917" s="4" t="n"/>
      <c r="C917" s="4" t="n"/>
      <c r="D917" s="5" t="n"/>
      <c r="E917" s="5" t="n"/>
      <c r="F917" s="5" t="n"/>
      <c r="G917" s="5" t="n"/>
      <c r="H917" s="5" t="n"/>
      <c r="I917" s="5" t="n"/>
      <c r="J917" s="5" t="n"/>
      <c r="K917" s="6" t="n"/>
      <c r="L917" s="6" t="n"/>
      <c r="M917" s="6" t="n"/>
      <c r="N917" s="5" t="n"/>
      <c r="O917" s="21" t="n"/>
      <c r="P917" s="5" t="n"/>
      <c r="Q917" s="5" t="n"/>
      <c r="R917" s="6" t="n"/>
      <c r="S917" s="4" t="n"/>
      <c r="T917" s="4" t="n"/>
      <c r="U917" s="3">
        <f>IF(C917="","",IF(T917="",TODAY()-C917,T917-C917))</f>
        <v/>
      </c>
      <c r="V917" s="5" t="n"/>
      <c r="W917" s="6" t="n"/>
      <c r="X917" s="3">
        <f>IF(P917="","",IFERROR(VLOOKUP(P917,Parâmetros!$J$2:$K$5,2,FALSE),""))</f>
        <v/>
      </c>
      <c r="Y917" s="4">
        <f>IF(OR(C917="",X917=""),"",C917+X917)</f>
        <v/>
      </c>
      <c r="Z917" s="5">
        <f>IF(C917="","",IF(Q917="Concluído","Concluído",IF(Y917&lt;TODAY(),"Vencido",IF(Y917-TODAY()&lt;=2,"A vencer","No prazo"))))</f>
        <v/>
      </c>
      <c r="AA917" s="3">
        <f>IF(OR(Y917="",Q917="Concluído"),"",Y917-TODAY())</f>
        <v/>
      </c>
      <c r="AB917" s="5" t="n"/>
      <c r="AC917" s="5" t="n"/>
      <c r="AD917" s="4" t="n"/>
    </row>
    <row r="918">
      <c r="A918" s="3">
        <f>IF(C918="","",ROW()-1)</f>
        <v/>
      </c>
      <c r="B918" s="4" t="n"/>
      <c r="C918" s="4" t="n"/>
      <c r="D918" s="5" t="n"/>
      <c r="E918" s="5" t="n"/>
      <c r="F918" s="5" t="n"/>
      <c r="G918" s="5" t="n"/>
      <c r="H918" s="5" t="n"/>
      <c r="I918" s="5" t="n"/>
      <c r="J918" s="5" t="n"/>
      <c r="K918" s="6" t="n"/>
      <c r="L918" s="6" t="n"/>
      <c r="M918" s="6" t="n"/>
      <c r="N918" s="5" t="n"/>
      <c r="O918" s="21" t="n"/>
      <c r="P918" s="5" t="n"/>
      <c r="Q918" s="5" t="n"/>
      <c r="R918" s="6" t="n"/>
      <c r="S918" s="4" t="n"/>
      <c r="T918" s="4" t="n"/>
      <c r="U918" s="3">
        <f>IF(C918="","",IF(T918="",TODAY()-C918,T918-C918))</f>
        <v/>
      </c>
      <c r="V918" s="5" t="n"/>
      <c r="W918" s="6" t="n"/>
      <c r="X918" s="3">
        <f>IF(P918="","",IFERROR(VLOOKUP(P918,Parâmetros!$J$2:$K$5,2,FALSE),""))</f>
        <v/>
      </c>
      <c r="Y918" s="4">
        <f>IF(OR(C918="",X918=""),"",C918+X918)</f>
        <v/>
      </c>
      <c r="Z918" s="5">
        <f>IF(C918="","",IF(Q918="Concluído","Concluído",IF(Y918&lt;TODAY(),"Vencido",IF(Y918-TODAY()&lt;=2,"A vencer","No prazo"))))</f>
        <v/>
      </c>
      <c r="AA918" s="3">
        <f>IF(OR(Y918="",Q918="Concluído"),"",Y918-TODAY())</f>
        <v/>
      </c>
      <c r="AB918" s="5" t="n"/>
      <c r="AC918" s="5" t="n"/>
      <c r="AD918" s="4" t="n"/>
    </row>
    <row r="919">
      <c r="A919" s="3">
        <f>IF(C919="","",ROW()-1)</f>
        <v/>
      </c>
      <c r="B919" s="4" t="n"/>
      <c r="C919" s="4" t="n"/>
      <c r="D919" s="5" t="n"/>
      <c r="E919" s="5" t="n"/>
      <c r="F919" s="5" t="n"/>
      <c r="G919" s="5" t="n"/>
      <c r="H919" s="5" t="n"/>
      <c r="I919" s="5" t="n"/>
      <c r="J919" s="5" t="n"/>
      <c r="K919" s="6" t="n"/>
      <c r="L919" s="6" t="n"/>
      <c r="M919" s="6" t="n"/>
      <c r="N919" s="5" t="n"/>
      <c r="O919" s="21" t="n"/>
      <c r="P919" s="5" t="n"/>
      <c r="Q919" s="5" t="n"/>
      <c r="R919" s="6" t="n"/>
      <c r="S919" s="4" t="n"/>
      <c r="T919" s="4" t="n"/>
      <c r="U919" s="3">
        <f>IF(C919="","",IF(T919="",TODAY()-C919,T919-C919))</f>
        <v/>
      </c>
      <c r="V919" s="5" t="n"/>
      <c r="W919" s="6" t="n"/>
      <c r="X919" s="3">
        <f>IF(P919="","",IFERROR(VLOOKUP(P919,Parâmetros!$J$2:$K$5,2,FALSE),""))</f>
        <v/>
      </c>
      <c r="Y919" s="4">
        <f>IF(OR(C919="",X919=""),"",C919+X919)</f>
        <v/>
      </c>
      <c r="Z919" s="5">
        <f>IF(C919="","",IF(Q919="Concluído","Concluído",IF(Y919&lt;TODAY(),"Vencido",IF(Y919-TODAY()&lt;=2,"A vencer","No prazo"))))</f>
        <v/>
      </c>
      <c r="AA919" s="3">
        <f>IF(OR(Y919="",Q919="Concluído"),"",Y919-TODAY())</f>
        <v/>
      </c>
      <c r="AB919" s="5" t="n"/>
      <c r="AC919" s="5" t="n"/>
      <c r="AD919" s="4" t="n"/>
    </row>
    <row r="920">
      <c r="A920" s="3">
        <f>IF(C920="","",ROW()-1)</f>
        <v/>
      </c>
      <c r="B920" s="4" t="n"/>
      <c r="C920" s="4" t="n"/>
      <c r="D920" s="5" t="n"/>
      <c r="E920" s="5" t="n"/>
      <c r="F920" s="5" t="n"/>
      <c r="G920" s="5" t="n"/>
      <c r="H920" s="5" t="n"/>
      <c r="I920" s="5" t="n"/>
      <c r="J920" s="5" t="n"/>
      <c r="K920" s="6" t="n"/>
      <c r="L920" s="6" t="n"/>
      <c r="M920" s="6" t="n"/>
      <c r="N920" s="5" t="n"/>
      <c r="O920" s="21" t="n"/>
      <c r="P920" s="5" t="n"/>
      <c r="Q920" s="5" t="n"/>
      <c r="R920" s="6" t="n"/>
      <c r="S920" s="4" t="n"/>
      <c r="T920" s="4" t="n"/>
      <c r="U920" s="3">
        <f>IF(C920="","",IF(T920="",TODAY()-C920,T920-C920))</f>
        <v/>
      </c>
      <c r="V920" s="5" t="n"/>
      <c r="W920" s="6" t="n"/>
      <c r="X920" s="3">
        <f>IF(P920="","",IFERROR(VLOOKUP(P920,Parâmetros!$J$2:$K$5,2,FALSE),""))</f>
        <v/>
      </c>
      <c r="Y920" s="4">
        <f>IF(OR(C920="",X920=""),"",C920+X920)</f>
        <v/>
      </c>
      <c r="Z920" s="5">
        <f>IF(C920="","",IF(Q920="Concluído","Concluído",IF(Y920&lt;TODAY(),"Vencido",IF(Y920-TODAY()&lt;=2,"A vencer","No prazo"))))</f>
        <v/>
      </c>
      <c r="AA920" s="3">
        <f>IF(OR(Y920="",Q920="Concluído"),"",Y920-TODAY())</f>
        <v/>
      </c>
      <c r="AB920" s="5" t="n"/>
      <c r="AC920" s="5" t="n"/>
      <c r="AD920" s="4" t="n"/>
    </row>
    <row r="921">
      <c r="A921" s="3">
        <f>IF(C921="","",ROW()-1)</f>
        <v/>
      </c>
      <c r="B921" s="4" t="n"/>
      <c r="C921" s="4" t="n"/>
      <c r="D921" s="5" t="n"/>
      <c r="E921" s="5" t="n"/>
      <c r="F921" s="5" t="n"/>
      <c r="G921" s="5" t="n"/>
      <c r="H921" s="5" t="n"/>
      <c r="I921" s="5" t="n"/>
      <c r="J921" s="5" t="n"/>
      <c r="K921" s="6" t="n"/>
      <c r="L921" s="6" t="n"/>
      <c r="M921" s="6" t="n"/>
      <c r="N921" s="5" t="n"/>
      <c r="O921" s="21" t="n"/>
      <c r="P921" s="5" t="n"/>
      <c r="Q921" s="5" t="n"/>
      <c r="R921" s="6" t="n"/>
      <c r="S921" s="4" t="n"/>
      <c r="T921" s="4" t="n"/>
      <c r="U921" s="3">
        <f>IF(C921="","",IF(T921="",TODAY()-C921,T921-C921))</f>
        <v/>
      </c>
      <c r="V921" s="5" t="n"/>
      <c r="W921" s="6" t="n"/>
      <c r="X921" s="3">
        <f>IF(P921="","",IFERROR(VLOOKUP(P921,Parâmetros!$J$2:$K$5,2,FALSE),""))</f>
        <v/>
      </c>
      <c r="Y921" s="4">
        <f>IF(OR(C921="",X921=""),"",C921+X921)</f>
        <v/>
      </c>
      <c r="Z921" s="5">
        <f>IF(C921="","",IF(Q921="Concluído","Concluído",IF(Y921&lt;TODAY(),"Vencido",IF(Y921-TODAY()&lt;=2,"A vencer","No prazo"))))</f>
        <v/>
      </c>
      <c r="AA921" s="3">
        <f>IF(OR(Y921="",Q921="Concluído"),"",Y921-TODAY())</f>
        <v/>
      </c>
      <c r="AB921" s="5" t="n"/>
      <c r="AC921" s="5" t="n"/>
      <c r="AD921" s="4" t="n"/>
    </row>
    <row r="922">
      <c r="A922" s="3">
        <f>IF(C922="","",ROW()-1)</f>
        <v/>
      </c>
      <c r="B922" s="4" t="n"/>
      <c r="C922" s="4" t="n"/>
      <c r="D922" s="5" t="n"/>
      <c r="E922" s="5" t="n"/>
      <c r="F922" s="5" t="n"/>
      <c r="G922" s="5" t="n"/>
      <c r="H922" s="5" t="n"/>
      <c r="I922" s="5" t="n"/>
      <c r="J922" s="5" t="n"/>
      <c r="K922" s="6" t="n"/>
      <c r="L922" s="6" t="n"/>
      <c r="M922" s="6" t="n"/>
      <c r="N922" s="5" t="n"/>
      <c r="O922" s="21" t="n"/>
      <c r="P922" s="5" t="n"/>
      <c r="Q922" s="5" t="n"/>
      <c r="R922" s="6" t="n"/>
      <c r="S922" s="4" t="n"/>
      <c r="T922" s="4" t="n"/>
      <c r="U922" s="3">
        <f>IF(C922="","",IF(T922="",TODAY()-C922,T922-C922))</f>
        <v/>
      </c>
      <c r="V922" s="5" t="n"/>
      <c r="W922" s="6" t="n"/>
      <c r="X922" s="3">
        <f>IF(P922="","",IFERROR(VLOOKUP(P922,Parâmetros!$J$2:$K$5,2,FALSE),""))</f>
        <v/>
      </c>
      <c r="Y922" s="4">
        <f>IF(OR(C922="",X922=""),"",C922+X922)</f>
        <v/>
      </c>
      <c r="Z922" s="5">
        <f>IF(C922="","",IF(Q922="Concluído","Concluído",IF(Y922&lt;TODAY(),"Vencido",IF(Y922-TODAY()&lt;=2,"A vencer","No prazo"))))</f>
        <v/>
      </c>
      <c r="AA922" s="3">
        <f>IF(OR(Y922="",Q922="Concluído"),"",Y922-TODAY())</f>
        <v/>
      </c>
      <c r="AB922" s="5" t="n"/>
      <c r="AC922" s="5" t="n"/>
      <c r="AD922" s="4" t="n"/>
    </row>
    <row r="923">
      <c r="A923" s="3">
        <f>IF(C923="","",ROW()-1)</f>
        <v/>
      </c>
      <c r="B923" s="4" t="n"/>
      <c r="C923" s="4" t="n"/>
      <c r="D923" s="5" t="n"/>
      <c r="E923" s="5" t="n"/>
      <c r="F923" s="5" t="n"/>
      <c r="G923" s="5" t="n"/>
      <c r="H923" s="5" t="n"/>
      <c r="I923" s="5" t="n"/>
      <c r="J923" s="5" t="n"/>
      <c r="K923" s="6" t="n"/>
      <c r="L923" s="6" t="n"/>
      <c r="M923" s="6" t="n"/>
      <c r="N923" s="5" t="n"/>
      <c r="O923" s="21" t="n"/>
      <c r="P923" s="5" t="n"/>
      <c r="Q923" s="5" t="n"/>
      <c r="R923" s="6" t="n"/>
      <c r="S923" s="4" t="n"/>
      <c r="T923" s="4" t="n"/>
      <c r="U923" s="3">
        <f>IF(C923="","",IF(T923="",TODAY()-C923,T923-C923))</f>
        <v/>
      </c>
      <c r="V923" s="5" t="n"/>
      <c r="W923" s="6" t="n"/>
      <c r="X923" s="3">
        <f>IF(P923="","",IFERROR(VLOOKUP(P923,Parâmetros!$J$2:$K$5,2,FALSE),""))</f>
        <v/>
      </c>
      <c r="Y923" s="4">
        <f>IF(OR(C923="",X923=""),"",C923+X923)</f>
        <v/>
      </c>
      <c r="Z923" s="5">
        <f>IF(C923="","",IF(Q923="Concluído","Concluído",IF(Y923&lt;TODAY(),"Vencido",IF(Y923-TODAY()&lt;=2,"A vencer","No prazo"))))</f>
        <v/>
      </c>
      <c r="AA923" s="3">
        <f>IF(OR(Y923="",Q923="Concluído"),"",Y923-TODAY())</f>
        <v/>
      </c>
      <c r="AB923" s="5" t="n"/>
      <c r="AC923" s="5" t="n"/>
      <c r="AD923" s="4" t="n"/>
    </row>
    <row r="924">
      <c r="A924" s="3">
        <f>IF(C924="","",ROW()-1)</f>
        <v/>
      </c>
      <c r="B924" s="4" t="n"/>
      <c r="C924" s="4" t="n"/>
      <c r="D924" s="5" t="n"/>
      <c r="E924" s="5" t="n"/>
      <c r="F924" s="5" t="n"/>
      <c r="G924" s="5" t="n"/>
      <c r="H924" s="5" t="n"/>
      <c r="I924" s="5" t="n"/>
      <c r="J924" s="5" t="n"/>
      <c r="K924" s="6" t="n"/>
      <c r="L924" s="6" t="n"/>
      <c r="M924" s="6" t="n"/>
      <c r="N924" s="5" t="n"/>
      <c r="O924" s="21" t="n"/>
      <c r="P924" s="5" t="n"/>
      <c r="Q924" s="5" t="n"/>
      <c r="R924" s="6" t="n"/>
      <c r="S924" s="4" t="n"/>
      <c r="T924" s="4" t="n"/>
      <c r="U924" s="3">
        <f>IF(C924="","",IF(T924="",TODAY()-C924,T924-C924))</f>
        <v/>
      </c>
      <c r="V924" s="5" t="n"/>
      <c r="W924" s="6" t="n"/>
      <c r="X924" s="3">
        <f>IF(P924="","",IFERROR(VLOOKUP(P924,Parâmetros!$J$2:$K$5,2,FALSE),""))</f>
        <v/>
      </c>
      <c r="Y924" s="4">
        <f>IF(OR(C924="",X924=""),"",C924+X924)</f>
        <v/>
      </c>
      <c r="Z924" s="5">
        <f>IF(C924="","",IF(Q924="Concluído","Concluído",IF(Y924&lt;TODAY(),"Vencido",IF(Y924-TODAY()&lt;=2,"A vencer","No prazo"))))</f>
        <v/>
      </c>
      <c r="AA924" s="3">
        <f>IF(OR(Y924="",Q924="Concluído"),"",Y924-TODAY())</f>
        <v/>
      </c>
      <c r="AB924" s="5" t="n"/>
      <c r="AC924" s="5" t="n"/>
      <c r="AD924" s="4" t="n"/>
    </row>
    <row r="925">
      <c r="A925" s="3">
        <f>IF(C925="","",ROW()-1)</f>
        <v/>
      </c>
      <c r="B925" s="4" t="n"/>
      <c r="C925" s="4" t="n"/>
      <c r="D925" s="5" t="n"/>
      <c r="E925" s="5" t="n"/>
      <c r="F925" s="5" t="n"/>
      <c r="G925" s="5" t="n"/>
      <c r="H925" s="5" t="n"/>
      <c r="I925" s="5" t="n"/>
      <c r="J925" s="5" t="n"/>
      <c r="K925" s="6" t="n"/>
      <c r="L925" s="6" t="n"/>
      <c r="M925" s="6" t="n"/>
      <c r="N925" s="5" t="n"/>
      <c r="O925" s="21" t="n"/>
      <c r="P925" s="5" t="n"/>
      <c r="Q925" s="5" t="n"/>
      <c r="R925" s="6" t="n"/>
      <c r="S925" s="4" t="n"/>
      <c r="T925" s="4" t="n"/>
      <c r="U925" s="3">
        <f>IF(C925="","",IF(T925="",TODAY()-C925,T925-C925))</f>
        <v/>
      </c>
      <c r="V925" s="5" t="n"/>
      <c r="W925" s="6" t="n"/>
      <c r="X925" s="3">
        <f>IF(P925="","",IFERROR(VLOOKUP(P925,Parâmetros!$J$2:$K$5,2,FALSE),""))</f>
        <v/>
      </c>
      <c r="Y925" s="4">
        <f>IF(OR(C925="",X925=""),"",C925+X925)</f>
        <v/>
      </c>
      <c r="Z925" s="5">
        <f>IF(C925="","",IF(Q925="Concluído","Concluído",IF(Y925&lt;TODAY(),"Vencido",IF(Y925-TODAY()&lt;=2,"A vencer","No prazo"))))</f>
        <v/>
      </c>
      <c r="AA925" s="3">
        <f>IF(OR(Y925="",Q925="Concluído"),"",Y925-TODAY())</f>
        <v/>
      </c>
      <c r="AB925" s="5" t="n"/>
      <c r="AC925" s="5" t="n"/>
      <c r="AD925" s="4" t="n"/>
    </row>
    <row r="926">
      <c r="A926" s="3">
        <f>IF(C926="","",ROW()-1)</f>
        <v/>
      </c>
      <c r="B926" s="4" t="n"/>
      <c r="C926" s="4" t="n"/>
      <c r="D926" s="5" t="n"/>
      <c r="E926" s="5" t="n"/>
      <c r="F926" s="5" t="n"/>
      <c r="G926" s="5" t="n"/>
      <c r="H926" s="5" t="n"/>
      <c r="I926" s="5" t="n"/>
      <c r="J926" s="5" t="n"/>
      <c r="K926" s="6" t="n"/>
      <c r="L926" s="6" t="n"/>
      <c r="M926" s="6" t="n"/>
      <c r="N926" s="5" t="n"/>
      <c r="O926" s="21" t="n"/>
      <c r="P926" s="5" t="n"/>
      <c r="Q926" s="5" t="n"/>
      <c r="R926" s="6" t="n"/>
      <c r="S926" s="4" t="n"/>
      <c r="T926" s="4" t="n"/>
      <c r="U926" s="3">
        <f>IF(C926="","",IF(T926="",TODAY()-C926,T926-C926))</f>
        <v/>
      </c>
      <c r="V926" s="5" t="n"/>
      <c r="W926" s="6" t="n"/>
      <c r="X926" s="3">
        <f>IF(P926="","",IFERROR(VLOOKUP(P926,Parâmetros!$J$2:$K$5,2,FALSE),""))</f>
        <v/>
      </c>
      <c r="Y926" s="4">
        <f>IF(OR(C926="",X926=""),"",C926+X926)</f>
        <v/>
      </c>
      <c r="Z926" s="5">
        <f>IF(C926="","",IF(Q926="Concluído","Concluído",IF(Y926&lt;TODAY(),"Vencido",IF(Y926-TODAY()&lt;=2,"A vencer","No prazo"))))</f>
        <v/>
      </c>
      <c r="AA926" s="3">
        <f>IF(OR(Y926="",Q926="Concluído"),"",Y926-TODAY())</f>
        <v/>
      </c>
      <c r="AB926" s="5" t="n"/>
      <c r="AC926" s="5" t="n"/>
      <c r="AD926" s="4" t="n"/>
    </row>
    <row r="927">
      <c r="A927" s="3">
        <f>IF(C927="","",ROW()-1)</f>
        <v/>
      </c>
      <c r="B927" s="4" t="n"/>
      <c r="C927" s="4" t="n"/>
      <c r="D927" s="5" t="n"/>
      <c r="E927" s="5" t="n"/>
      <c r="F927" s="5" t="n"/>
      <c r="G927" s="5" t="n"/>
      <c r="H927" s="5" t="n"/>
      <c r="I927" s="5" t="n"/>
      <c r="J927" s="5" t="n"/>
      <c r="K927" s="6" t="n"/>
      <c r="L927" s="6" t="n"/>
      <c r="M927" s="6" t="n"/>
      <c r="N927" s="5" t="n"/>
      <c r="O927" s="21" t="n"/>
      <c r="P927" s="5" t="n"/>
      <c r="Q927" s="5" t="n"/>
      <c r="R927" s="6" t="n"/>
      <c r="S927" s="4" t="n"/>
      <c r="T927" s="4" t="n"/>
      <c r="U927" s="3">
        <f>IF(C927="","",IF(T927="",TODAY()-C927,T927-C927))</f>
        <v/>
      </c>
      <c r="V927" s="5" t="n"/>
      <c r="W927" s="6" t="n"/>
      <c r="X927" s="3">
        <f>IF(P927="","",IFERROR(VLOOKUP(P927,Parâmetros!$J$2:$K$5,2,FALSE),""))</f>
        <v/>
      </c>
      <c r="Y927" s="4">
        <f>IF(OR(C927="",X927=""),"",C927+X927)</f>
        <v/>
      </c>
      <c r="Z927" s="5">
        <f>IF(C927="","",IF(Q927="Concluído","Concluído",IF(Y927&lt;TODAY(),"Vencido",IF(Y927-TODAY()&lt;=2,"A vencer","No prazo"))))</f>
        <v/>
      </c>
      <c r="AA927" s="3">
        <f>IF(OR(Y927="",Q927="Concluído"),"",Y927-TODAY())</f>
        <v/>
      </c>
      <c r="AB927" s="5" t="n"/>
      <c r="AC927" s="5" t="n"/>
      <c r="AD927" s="4" t="n"/>
    </row>
    <row r="928">
      <c r="A928" s="3">
        <f>IF(C928="","",ROW()-1)</f>
        <v/>
      </c>
      <c r="B928" s="4" t="n"/>
      <c r="C928" s="4" t="n"/>
      <c r="D928" s="5" t="n"/>
      <c r="E928" s="5" t="n"/>
      <c r="F928" s="5" t="n"/>
      <c r="G928" s="5" t="n"/>
      <c r="H928" s="5" t="n"/>
      <c r="I928" s="5" t="n"/>
      <c r="J928" s="5" t="n"/>
      <c r="K928" s="6" t="n"/>
      <c r="L928" s="6" t="n"/>
      <c r="M928" s="6" t="n"/>
      <c r="N928" s="5" t="n"/>
      <c r="O928" s="21" t="n"/>
      <c r="P928" s="5" t="n"/>
      <c r="Q928" s="5" t="n"/>
      <c r="R928" s="6" t="n"/>
      <c r="S928" s="4" t="n"/>
      <c r="T928" s="4" t="n"/>
      <c r="U928" s="3">
        <f>IF(C928="","",IF(T928="",TODAY()-C928,T928-C928))</f>
        <v/>
      </c>
      <c r="V928" s="5" t="n"/>
      <c r="W928" s="6" t="n"/>
      <c r="X928" s="3">
        <f>IF(P928="","",IFERROR(VLOOKUP(P928,Parâmetros!$J$2:$K$5,2,FALSE),""))</f>
        <v/>
      </c>
      <c r="Y928" s="4">
        <f>IF(OR(C928="",X928=""),"",C928+X928)</f>
        <v/>
      </c>
      <c r="Z928" s="5">
        <f>IF(C928="","",IF(Q928="Concluído","Concluído",IF(Y928&lt;TODAY(),"Vencido",IF(Y928-TODAY()&lt;=2,"A vencer","No prazo"))))</f>
        <v/>
      </c>
      <c r="AA928" s="3">
        <f>IF(OR(Y928="",Q928="Concluído"),"",Y928-TODAY())</f>
        <v/>
      </c>
      <c r="AB928" s="5" t="n"/>
      <c r="AC928" s="5" t="n"/>
      <c r="AD928" s="4" t="n"/>
    </row>
    <row r="929">
      <c r="A929" s="3">
        <f>IF(C929="","",ROW()-1)</f>
        <v/>
      </c>
      <c r="B929" s="4" t="n"/>
      <c r="C929" s="4" t="n"/>
      <c r="D929" s="5" t="n"/>
      <c r="E929" s="5" t="n"/>
      <c r="F929" s="5" t="n"/>
      <c r="G929" s="5" t="n"/>
      <c r="H929" s="5" t="n"/>
      <c r="I929" s="5" t="n"/>
      <c r="J929" s="5" t="n"/>
      <c r="K929" s="6" t="n"/>
      <c r="L929" s="6" t="n"/>
      <c r="M929" s="6" t="n"/>
      <c r="N929" s="5" t="n"/>
      <c r="O929" s="21" t="n"/>
      <c r="P929" s="5" t="n"/>
      <c r="Q929" s="5" t="n"/>
      <c r="R929" s="6" t="n"/>
      <c r="S929" s="4" t="n"/>
      <c r="T929" s="4" t="n"/>
      <c r="U929" s="3">
        <f>IF(C929="","",IF(T929="",TODAY()-C929,T929-C929))</f>
        <v/>
      </c>
      <c r="V929" s="5" t="n"/>
      <c r="W929" s="6" t="n"/>
      <c r="X929" s="3">
        <f>IF(P929="","",IFERROR(VLOOKUP(P929,Parâmetros!$J$2:$K$5,2,FALSE),""))</f>
        <v/>
      </c>
      <c r="Y929" s="4">
        <f>IF(OR(C929="",X929=""),"",C929+X929)</f>
        <v/>
      </c>
      <c r="Z929" s="5">
        <f>IF(C929="","",IF(Q929="Concluído","Concluído",IF(Y929&lt;TODAY(),"Vencido",IF(Y929-TODAY()&lt;=2,"A vencer","No prazo"))))</f>
        <v/>
      </c>
      <c r="AA929" s="3">
        <f>IF(OR(Y929="",Q929="Concluído"),"",Y929-TODAY())</f>
        <v/>
      </c>
      <c r="AB929" s="5" t="n"/>
      <c r="AC929" s="5" t="n"/>
      <c r="AD929" s="4" t="n"/>
    </row>
    <row r="930">
      <c r="A930" s="3">
        <f>IF(C930="","",ROW()-1)</f>
        <v/>
      </c>
      <c r="B930" s="4" t="n"/>
      <c r="C930" s="4" t="n"/>
      <c r="D930" s="5" t="n"/>
      <c r="E930" s="5" t="n"/>
      <c r="F930" s="5" t="n"/>
      <c r="G930" s="5" t="n"/>
      <c r="H930" s="5" t="n"/>
      <c r="I930" s="5" t="n"/>
      <c r="J930" s="5" t="n"/>
      <c r="K930" s="6" t="n"/>
      <c r="L930" s="6" t="n"/>
      <c r="M930" s="6" t="n"/>
      <c r="N930" s="5" t="n"/>
      <c r="O930" s="21" t="n"/>
      <c r="P930" s="5" t="n"/>
      <c r="Q930" s="5" t="n"/>
      <c r="R930" s="6" t="n"/>
      <c r="S930" s="4" t="n"/>
      <c r="T930" s="4" t="n"/>
      <c r="U930" s="3">
        <f>IF(C930="","",IF(T930="",TODAY()-C930,T930-C930))</f>
        <v/>
      </c>
      <c r="V930" s="5" t="n"/>
      <c r="W930" s="6" t="n"/>
      <c r="X930" s="3">
        <f>IF(P930="","",IFERROR(VLOOKUP(P930,Parâmetros!$J$2:$K$5,2,FALSE),""))</f>
        <v/>
      </c>
      <c r="Y930" s="4">
        <f>IF(OR(C930="",X930=""),"",C930+X930)</f>
        <v/>
      </c>
      <c r="Z930" s="5">
        <f>IF(C930="","",IF(Q930="Concluído","Concluído",IF(Y930&lt;TODAY(),"Vencido",IF(Y930-TODAY()&lt;=2,"A vencer","No prazo"))))</f>
        <v/>
      </c>
      <c r="AA930" s="3">
        <f>IF(OR(Y930="",Q930="Concluído"),"",Y930-TODAY())</f>
        <v/>
      </c>
      <c r="AB930" s="5" t="n"/>
      <c r="AC930" s="5" t="n"/>
      <c r="AD930" s="4" t="n"/>
    </row>
    <row r="931">
      <c r="A931" s="3">
        <f>IF(C931="","",ROW()-1)</f>
        <v/>
      </c>
      <c r="B931" s="4" t="n"/>
      <c r="C931" s="4" t="n"/>
      <c r="D931" s="5" t="n"/>
      <c r="E931" s="5" t="n"/>
      <c r="F931" s="5" t="n"/>
      <c r="G931" s="5" t="n"/>
      <c r="H931" s="5" t="n"/>
      <c r="I931" s="5" t="n"/>
      <c r="J931" s="5" t="n"/>
      <c r="K931" s="6" t="n"/>
      <c r="L931" s="6" t="n"/>
      <c r="M931" s="6" t="n"/>
      <c r="N931" s="5" t="n"/>
      <c r="O931" s="21" t="n"/>
      <c r="P931" s="5" t="n"/>
      <c r="Q931" s="5" t="n"/>
      <c r="R931" s="6" t="n"/>
      <c r="S931" s="4" t="n"/>
      <c r="T931" s="4" t="n"/>
      <c r="U931" s="3">
        <f>IF(C931="","",IF(T931="",TODAY()-C931,T931-C931))</f>
        <v/>
      </c>
      <c r="V931" s="5" t="n"/>
      <c r="W931" s="6" t="n"/>
      <c r="X931" s="3">
        <f>IF(P931="","",IFERROR(VLOOKUP(P931,Parâmetros!$J$2:$K$5,2,FALSE),""))</f>
        <v/>
      </c>
      <c r="Y931" s="4">
        <f>IF(OR(C931="",X931=""),"",C931+X931)</f>
        <v/>
      </c>
      <c r="Z931" s="5">
        <f>IF(C931="","",IF(Q931="Concluído","Concluído",IF(Y931&lt;TODAY(),"Vencido",IF(Y931-TODAY()&lt;=2,"A vencer","No prazo"))))</f>
        <v/>
      </c>
      <c r="AA931" s="3">
        <f>IF(OR(Y931="",Q931="Concluído"),"",Y931-TODAY())</f>
        <v/>
      </c>
      <c r="AB931" s="5" t="n"/>
      <c r="AC931" s="5" t="n"/>
      <c r="AD931" s="4" t="n"/>
    </row>
    <row r="932">
      <c r="A932" s="3">
        <f>IF(C932="","",ROW()-1)</f>
        <v/>
      </c>
      <c r="B932" s="4" t="n"/>
      <c r="C932" s="4" t="n"/>
      <c r="D932" s="5" t="n"/>
      <c r="E932" s="5" t="n"/>
      <c r="F932" s="5" t="n"/>
      <c r="G932" s="5" t="n"/>
      <c r="H932" s="5" t="n"/>
      <c r="I932" s="5" t="n"/>
      <c r="J932" s="5" t="n"/>
      <c r="K932" s="6" t="n"/>
      <c r="L932" s="6" t="n"/>
      <c r="M932" s="6" t="n"/>
      <c r="N932" s="5" t="n"/>
      <c r="O932" s="21" t="n"/>
      <c r="P932" s="5" t="n"/>
      <c r="Q932" s="5" t="n"/>
      <c r="R932" s="6" t="n"/>
      <c r="S932" s="4" t="n"/>
      <c r="T932" s="4" t="n"/>
      <c r="U932" s="3">
        <f>IF(C932="","",IF(T932="",TODAY()-C932,T932-C932))</f>
        <v/>
      </c>
      <c r="V932" s="5" t="n"/>
      <c r="W932" s="6" t="n"/>
      <c r="X932" s="3">
        <f>IF(P932="","",IFERROR(VLOOKUP(P932,Parâmetros!$J$2:$K$5,2,FALSE),""))</f>
        <v/>
      </c>
      <c r="Y932" s="4">
        <f>IF(OR(C932="",X932=""),"",C932+X932)</f>
        <v/>
      </c>
      <c r="Z932" s="5">
        <f>IF(C932="","",IF(Q932="Concluído","Concluído",IF(Y932&lt;TODAY(),"Vencido",IF(Y932-TODAY()&lt;=2,"A vencer","No prazo"))))</f>
        <v/>
      </c>
      <c r="AA932" s="3">
        <f>IF(OR(Y932="",Q932="Concluído"),"",Y932-TODAY())</f>
        <v/>
      </c>
      <c r="AB932" s="5" t="n"/>
      <c r="AC932" s="5" t="n"/>
      <c r="AD932" s="4" t="n"/>
    </row>
    <row r="933">
      <c r="A933" s="3">
        <f>IF(C933="","",ROW()-1)</f>
        <v/>
      </c>
      <c r="B933" s="4" t="n"/>
      <c r="C933" s="4" t="n"/>
      <c r="D933" s="5" t="n"/>
      <c r="E933" s="5" t="n"/>
      <c r="F933" s="5" t="n"/>
      <c r="G933" s="5" t="n"/>
      <c r="H933" s="5" t="n"/>
      <c r="I933" s="5" t="n"/>
      <c r="J933" s="5" t="n"/>
      <c r="K933" s="6" t="n"/>
      <c r="L933" s="6" t="n"/>
      <c r="M933" s="6" t="n"/>
      <c r="N933" s="5" t="n"/>
      <c r="O933" s="21" t="n"/>
      <c r="P933" s="5" t="n"/>
      <c r="Q933" s="5" t="n"/>
      <c r="R933" s="6" t="n"/>
      <c r="S933" s="4" t="n"/>
      <c r="T933" s="4" t="n"/>
      <c r="U933" s="3">
        <f>IF(C933="","",IF(T933="",TODAY()-C933,T933-C933))</f>
        <v/>
      </c>
      <c r="V933" s="5" t="n"/>
      <c r="W933" s="6" t="n"/>
      <c r="X933" s="3">
        <f>IF(P933="","",IFERROR(VLOOKUP(P933,Parâmetros!$J$2:$K$5,2,FALSE),""))</f>
        <v/>
      </c>
      <c r="Y933" s="4">
        <f>IF(OR(C933="",X933=""),"",C933+X933)</f>
        <v/>
      </c>
      <c r="Z933" s="5">
        <f>IF(C933="","",IF(Q933="Concluído","Concluído",IF(Y933&lt;TODAY(),"Vencido",IF(Y933-TODAY()&lt;=2,"A vencer","No prazo"))))</f>
        <v/>
      </c>
      <c r="AA933" s="3">
        <f>IF(OR(Y933="",Q933="Concluído"),"",Y933-TODAY())</f>
        <v/>
      </c>
      <c r="AB933" s="5" t="n"/>
      <c r="AC933" s="5" t="n"/>
      <c r="AD933" s="4" t="n"/>
    </row>
    <row r="934">
      <c r="A934" s="3">
        <f>IF(C934="","",ROW()-1)</f>
        <v/>
      </c>
      <c r="B934" s="4" t="n"/>
      <c r="C934" s="4" t="n"/>
      <c r="D934" s="5" t="n"/>
      <c r="E934" s="5" t="n"/>
      <c r="F934" s="5" t="n"/>
      <c r="G934" s="5" t="n"/>
      <c r="H934" s="5" t="n"/>
      <c r="I934" s="5" t="n"/>
      <c r="J934" s="5" t="n"/>
      <c r="K934" s="6" t="n"/>
      <c r="L934" s="6" t="n"/>
      <c r="M934" s="6" t="n"/>
      <c r="N934" s="5" t="n"/>
      <c r="O934" s="21" t="n"/>
      <c r="P934" s="5" t="n"/>
      <c r="Q934" s="5" t="n"/>
      <c r="R934" s="6" t="n"/>
      <c r="S934" s="4" t="n"/>
      <c r="T934" s="4" t="n"/>
      <c r="U934" s="3">
        <f>IF(C934="","",IF(T934="",TODAY()-C934,T934-C934))</f>
        <v/>
      </c>
      <c r="V934" s="5" t="n"/>
      <c r="W934" s="6" t="n"/>
      <c r="X934" s="3">
        <f>IF(P934="","",IFERROR(VLOOKUP(P934,Parâmetros!$J$2:$K$5,2,FALSE),""))</f>
        <v/>
      </c>
      <c r="Y934" s="4">
        <f>IF(OR(C934="",X934=""),"",C934+X934)</f>
        <v/>
      </c>
      <c r="Z934" s="5">
        <f>IF(C934="","",IF(Q934="Concluído","Concluído",IF(Y934&lt;TODAY(),"Vencido",IF(Y934-TODAY()&lt;=2,"A vencer","No prazo"))))</f>
        <v/>
      </c>
      <c r="AA934" s="3">
        <f>IF(OR(Y934="",Q934="Concluído"),"",Y934-TODAY())</f>
        <v/>
      </c>
      <c r="AB934" s="5" t="n"/>
      <c r="AC934" s="5" t="n"/>
      <c r="AD934" s="4" t="n"/>
    </row>
    <row r="935">
      <c r="A935" s="3">
        <f>IF(C935="","",ROW()-1)</f>
        <v/>
      </c>
      <c r="B935" s="4" t="n"/>
      <c r="C935" s="4" t="n"/>
      <c r="D935" s="5" t="n"/>
      <c r="E935" s="5" t="n"/>
      <c r="F935" s="5" t="n"/>
      <c r="G935" s="5" t="n"/>
      <c r="H935" s="5" t="n"/>
      <c r="I935" s="5" t="n"/>
      <c r="J935" s="5" t="n"/>
      <c r="K935" s="6" t="n"/>
      <c r="L935" s="6" t="n"/>
      <c r="M935" s="6" t="n"/>
      <c r="N935" s="5" t="n"/>
      <c r="O935" s="21" t="n"/>
      <c r="P935" s="5" t="n"/>
      <c r="Q935" s="5" t="n"/>
      <c r="R935" s="6" t="n"/>
      <c r="S935" s="4" t="n"/>
      <c r="T935" s="4" t="n"/>
      <c r="U935" s="3">
        <f>IF(C935="","",IF(T935="",TODAY()-C935,T935-C935))</f>
        <v/>
      </c>
      <c r="V935" s="5" t="n"/>
      <c r="W935" s="6" t="n"/>
      <c r="X935" s="3">
        <f>IF(P935="","",IFERROR(VLOOKUP(P935,Parâmetros!$J$2:$K$5,2,FALSE),""))</f>
        <v/>
      </c>
      <c r="Y935" s="4">
        <f>IF(OR(C935="",X935=""),"",C935+X935)</f>
        <v/>
      </c>
      <c r="Z935" s="5">
        <f>IF(C935="","",IF(Q935="Concluído","Concluído",IF(Y935&lt;TODAY(),"Vencido",IF(Y935-TODAY()&lt;=2,"A vencer","No prazo"))))</f>
        <v/>
      </c>
      <c r="AA935" s="3">
        <f>IF(OR(Y935="",Q935="Concluído"),"",Y935-TODAY())</f>
        <v/>
      </c>
      <c r="AB935" s="5" t="n"/>
      <c r="AC935" s="5" t="n"/>
      <c r="AD935" s="4" t="n"/>
    </row>
    <row r="936">
      <c r="A936" s="3">
        <f>IF(C936="","",ROW()-1)</f>
        <v/>
      </c>
      <c r="B936" s="4" t="n"/>
      <c r="C936" s="4" t="n"/>
      <c r="D936" s="5" t="n"/>
      <c r="E936" s="5" t="n"/>
      <c r="F936" s="5" t="n"/>
      <c r="G936" s="5" t="n"/>
      <c r="H936" s="5" t="n"/>
      <c r="I936" s="5" t="n"/>
      <c r="J936" s="5" t="n"/>
      <c r="K936" s="6" t="n"/>
      <c r="L936" s="6" t="n"/>
      <c r="M936" s="6" t="n"/>
      <c r="N936" s="5" t="n"/>
      <c r="O936" s="21" t="n"/>
      <c r="P936" s="5" t="n"/>
      <c r="Q936" s="5" t="n"/>
      <c r="R936" s="6" t="n"/>
      <c r="S936" s="4" t="n"/>
      <c r="T936" s="4" t="n"/>
      <c r="U936" s="3">
        <f>IF(C936="","",IF(T936="",TODAY()-C936,T936-C936))</f>
        <v/>
      </c>
      <c r="V936" s="5" t="n"/>
      <c r="W936" s="6" t="n"/>
      <c r="X936" s="3">
        <f>IF(P936="","",IFERROR(VLOOKUP(P936,Parâmetros!$J$2:$K$5,2,FALSE),""))</f>
        <v/>
      </c>
      <c r="Y936" s="4">
        <f>IF(OR(C936="",X936=""),"",C936+X936)</f>
        <v/>
      </c>
      <c r="Z936" s="5">
        <f>IF(C936="","",IF(Q936="Concluído","Concluído",IF(Y936&lt;TODAY(),"Vencido",IF(Y936-TODAY()&lt;=2,"A vencer","No prazo"))))</f>
        <v/>
      </c>
      <c r="AA936" s="3">
        <f>IF(OR(Y936="",Q936="Concluído"),"",Y936-TODAY())</f>
        <v/>
      </c>
      <c r="AB936" s="5" t="n"/>
      <c r="AC936" s="5" t="n"/>
      <c r="AD936" s="4" t="n"/>
    </row>
    <row r="937">
      <c r="A937" s="3">
        <f>IF(C937="","",ROW()-1)</f>
        <v/>
      </c>
      <c r="B937" s="4" t="n"/>
      <c r="C937" s="4" t="n"/>
      <c r="D937" s="5" t="n"/>
      <c r="E937" s="5" t="n"/>
      <c r="F937" s="5" t="n"/>
      <c r="G937" s="5" t="n"/>
      <c r="H937" s="5" t="n"/>
      <c r="I937" s="5" t="n"/>
      <c r="J937" s="5" t="n"/>
      <c r="K937" s="6" t="n"/>
      <c r="L937" s="6" t="n"/>
      <c r="M937" s="6" t="n"/>
      <c r="N937" s="5" t="n"/>
      <c r="O937" s="21" t="n"/>
      <c r="P937" s="5" t="n"/>
      <c r="Q937" s="5" t="n"/>
      <c r="R937" s="6" t="n"/>
      <c r="S937" s="4" t="n"/>
      <c r="T937" s="4" t="n"/>
      <c r="U937" s="3">
        <f>IF(C937="","",IF(T937="",TODAY()-C937,T937-C937))</f>
        <v/>
      </c>
      <c r="V937" s="5" t="n"/>
      <c r="W937" s="6" t="n"/>
      <c r="X937" s="3">
        <f>IF(P937="","",IFERROR(VLOOKUP(P937,Parâmetros!$J$2:$K$5,2,FALSE),""))</f>
        <v/>
      </c>
      <c r="Y937" s="4">
        <f>IF(OR(C937="",X937=""),"",C937+X937)</f>
        <v/>
      </c>
      <c r="Z937" s="5">
        <f>IF(C937="","",IF(Q937="Concluído","Concluído",IF(Y937&lt;TODAY(),"Vencido",IF(Y937-TODAY()&lt;=2,"A vencer","No prazo"))))</f>
        <v/>
      </c>
      <c r="AA937" s="3">
        <f>IF(OR(Y937="",Q937="Concluído"),"",Y937-TODAY())</f>
        <v/>
      </c>
      <c r="AB937" s="5" t="n"/>
      <c r="AC937" s="5" t="n"/>
      <c r="AD937" s="4" t="n"/>
    </row>
    <row r="938">
      <c r="A938" s="3">
        <f>IF(C938="","",ROW()-1)</f>
        <v/>
      </c>
      <c r="B938" s="4" t="n"/>
      <c r="C938" s="4" t="n"/>
      <c r="D938" s="5" t="n"/>
      <c r="E938" s="5" t="n"/>
      <c r="F938" s="5" t="n"/>
      <c r="G938" s="5" t="n"/>
      <c r="H938" s="5" t="n"/>
      <c r="I938" s="5" t="n"/>
      <c r="J938" s="5" t="n"/>
      <c r="K938" s="6" t="n"/>
      <c r="L938" s="6" t="n"/>
      <c r="M938" s="6" t="n"/>
      <c r="N938" s="5" t="n"/>
      <c r="O938" s="21" t="n"/>
      <c r="P938" s="5" t="n"/>
      <c r="Q938" s="5" t="n"/>
      <c r="R938" s="6" t="n"/>
      <c r="S938" s="4" t="n"/>
      <c r="T938" s="4" t="n"/>
      <c r="U938" s="3">
        <f>IF(C938="","",IF(T938="",TODAY()-C938,T938-C938))</f>
        <v/>
      </c>
      <c r="V938" s="5" t="n"/>
      <c r="W938" s="6" t="n"/>
      <c r="X938" s="3">
        <f>IF(P938="","",IFERROR(VLOOKUP(P938,Parâmetros!$J$2:$K$5,2,FALSE),""))</f>
        <v/>
      </c>
      <c r="Y938" s="4">
        <f>IF(OR(C938="",X938=""),"",C938+X938)</f>
        <v/>
      </c>
      <c r="Z938" s="5">
        <f>IF(C938="","",IF(Q938="Concluído","Concluído",IF(Y938&lt;TODAY(),"Vencido",IF(Y938-TODAY()&lt;=2,"A vencer","No prazo"))))</f>
        <v/>
      </c>
      <c r="AA938" s="3">
        <f>IF(OR(Y938="",Q938="Concluído"),"",Y938-TODAY())</f>
        <v/>
      </c>
      <c r="AB938" s="5" t="n"/>
      <c r="AC938" s="5" t="n"/>
      <c r="AD938" s="4" t="n"/>
    </row>
    <row r="939">
      <c r="A939" s="3">
        <f>IF(C939="","",ROW()-1)</f>
        <v/>
      </c>
      <c r="B939" s="4" t="n"/>
      <c r="C939" s="4" t="n"/>
      <c r="D939" s="5" t="n"/>
      <c r="E939" s="5" t="n"/>
      <c r="F939" s="5" t="n"/>
      <c r="G939" s="5" t="n"/>
      <c r="H939" s="5" t="n"/>
      <c r="I939" s="5" t="n"/>
      <c r="J939" s="5" t="n"/>
      <c r="K939" s="6" t="n"/>
      <c r="L939" s="6" t="n"/>
      <c r="M939" s="6" t="n"/>
      <c r="N939" s="5" t="n"/>
      <c r="O939" s="21" t="n"/>
      <c r="P939" s="5" t="n"/>
      <c r="Q939" s="5" t="n"/>
      <c r="R939" s="6" t="n"/>
      <c r="S939" s="4" t="n"/>
      <c r="T939" s="4" t="n"/>
      <c r="U939" s="3">
        <f>IF(C939="","",IF(T939="",TODAY()-C939,T939-C939))</f>
        <v/>
      </c>
      <c r="V939" s="5" t="n"/>
      <c r="W939" s="6" t="n"/>
      <c r="X939" s="3">
        <f>IF(P939="","",IFERROR(VLOOKUP(P939,Parâmetros!$J$2:$K$5,2,FALSE),""))</f>
        <v/>
      </c>
      <c r="Y939" s="4">
        <f>IF(OR(C939="",X939=""),"",C939+X939)</f>
        <v/>
      </c>
      <c r="Z939" s="5">
        <f>IF(C939="","",IF(Q939="Concluído","Concluído",IF(Y939&lt;TODAY(),"Vencido",IF(Y939-TODAY()&lt;=2,"A vencer","No prazo"))))</f>
        <v/>
      </c>
      <c r="AA939" s="3">
        <f>IF(OR(Y939="",Q939="Concluído"),"",Y939-TODAY())</f>
        <v/>
      </c>
      <c r="AB939" s="5" t="n"/>
      <c r="AC939" s="5" t="n"/>
      <c r="AD939" s="4" t="n"/>
    </row>
    <row r="940">
      <c r="A940" s="3">
        <f>IF(C940="","",ROW()-1)</f>
        <v/>
      </c>
      <c r="B940" s="4" t="n"/>
      <c r="C940" s="4" t="n"/>
      <c r="D940" s="5" t="n"/>
      <c r="E940" s="5" t="n"/>
      <c r="F940" s="5" t="n"/>
      <c r="G940" s="5" t="n"/>
      <c r="H940" s="5" t="n"/>
      <c r="I940" s="5" t="n"/>
      <c r="J940" s="5" t="n"/>
      <c r="K940" s="6" t="n"/>
      <c r="L940" s="6" t="n"/>
      <c r="M940" s="6" t="n"/>
      <c r="N940" s="5" t="n"/>
      <c r="O940" s="21" t="n"/>
      <c r="P940" s="5" t="n"/>
      <c r="Q940" s="5" t="n"/>
      <c r="R940" s="6" t="n"/>
      <c r="S940" s="4" t="n"/>
      <c r="T940" s="4" t="n"/>
      <c r="U940" s="3">
        <f>IF(C940="","",IF(T940="",TODAY()-C940,T940-C940))</f>
        <v/>
      </c>
      <c r="V940" s="5" t="n"/>
      <c r="W940" s="6" t="n"/>
      <c r="X940" s="3">
        <f>IF(P940="","",IFERROR(VLOOKUP(P940,Parâmetros!$J$2:$K$5,2,FALSE),""))</f>
        <v/>
      </c>
      <c r="Y940" s="4">
        <f>IF(OR(C940="",X940=""),"",C940+X940)</f>
        <v/>
      </c>
      <c r="Z940" s="5">
        <f>IF(C940="","",IF(Q940="Concluído","Concluído",IF(Y940&lt;TODAY(),"Vencido",IF(Y940-TODAY()&lt;=2,"A vencer","No prazo"))))</f>
        <v/>
      </c>
      <c r="AA940" s="3">
        <f>IF(OR(Y940="",Q940="Concluído"),"",Y940-TODAY())</f>
        <v/>
      </c>
      <c r="AB940" s="5" t="n"/>
      <c r="AC940" s="5" t="n"/>
      <c r="AD940" s="4" t="n"/>
    </row>
    <row r="941">
      <c r="A941" s="3">
        <f>IF(C941="","",ROW()-1)</f>
        <v/>
      </c>
      <c r="B941" s="4" t="n"/>
      <c r="C941" s="4" t="n"/>
      <c r="D941" s="5" t="n"/>
      <c r="E941" s="5" t="n"/>
      <c r="F941" s="5" t="n"/>
      <c r="G941" s="5" t="n"/>
      <c r="H941" s="5" t="n"/>
      <c r="I941" s="5" t="n"/>
      <c r="J941" s="5" t="n"/>
      <c r="K941" s="6" t="n"/>
      <c r="L941" s="6" t="n"/>
      <c r="M941" s="6" t="n"/>
      <c r="N941" s="5" t="n"/>
      <c r="O941" s="21" t="n"/>
      <c r="P941" s="5" t="n"/>
      <c r="Q941" s="5" t="n"/>
      <c r="R941" s="6" t="n"/>
      <c r="S941" s="4" t="n"/>
      <c r="T941" s="4" t="n"/>
      <c r="U941" s="3">
        <f>IF(C941="","",IF(T941="",TODAY()-C941,T941-C941))</f>
        <v/>
      </c>
      <c r="V941" s="5" t="n"/>
      <c r="W941" s="6" t="n"/>
      <c r="X941" s="3">
        <f>IF(P941="","",IFERROR(VLOOKUP(P941,Parâmetros!$J$2:$K$5,2,FALSE),""))</f>
        <v/>
      </c>
      <c r="Y941" s="4">
        <f>IF(OR(C941="",X941=""),"",C941+X941)</f>
        <v/>
      </c>
      <c r="Z941" s="5">
        <f>IF(C941="","",IF(Q941="Concluído","Concluído",IF(Y941&lt;TODAY(),"Vencido",IF(Y941-TODAY()&lt;=2,"A vencer","No prazo"))))</f>
        <v/>
      </c>
      <c r="AA941" s="3">
        <f>IF(OR(Y941="",Q941="Concluído"),"",Y941-TODAY())</f>
        <v/>
      </c>
      <c r="AB941" s="5" t="n"/>
      <c r="AC941" s="5" t="n"/>
      <c r="AD941" s="4" t="n"/>
    </row>
    <row r="942">
      <c r="A942" s="3">
        <f>IF(C942="","",ROW()-1)</f>
        <v/>
      </c>
      <c r="B942" s="4" t="n"/>
      <c r="C942" s="4" t="n"/>
      <c r="D942" s="5" t="n"/>
      <c r="E942" s="5" t="n"/>
      <c r="F942" s="5" t="n"/>
      <c r="G942" s="5" t="n"/>
      <c r="H942" s="5" t="n"/>
      <c r="I942" s="5" t="n"/>
      <c r="J942" s="5" t="n"/>
      <c r="K942" s="6" t="n"/>
      <c r="L942" s="6" t="n"/>
      <c r="M942" s="6" t="n"/>
      <c r="N942" s="5" t="n"/>
      <c r="O942" s="21" t="n"/>
      <c r="P942" s="5" t="n"/>
      <c r="Q942" s="5" t="n"/>
      <c r="R942" s="6" t="n"/>
      <c r="S942" s="4" t="n"/>
      <c r="T942" s="4" t="n"/>
      <c r="U942" s="3">
        <f>IF(C942="","",IF(T942="",TODAY()-C942,T942-C942))</f>
        <v/>
      </c>
      <c r="V942" s="5" t="n"/>
      <c r="W942" s="6" t="n"/>
      <c r="X942" s="3">
        <f>IF(P942="","",IFERROR(VLOOKUP(P942,Parâmetros!$J$2:$K$5,2,FALSE),""))</f>
        <v/>
      </c>
      <c r="Y942" s="4">
        <f>IF(OR(C942="",X942=""),"",C942+X942)</f>
        <v/>
      </c>
      <c r="Z942" s="5">
        <f>IF(C942="","",IF(Q942="Concluído","Concluído",IF(Y942&lt;TODAY(),"Vencido",IF(Y942-TODAY()&lt;=2,"A vencer","No prazo"))))</f>
        <v/>
      </c>
      <c r="AA942" s="3">
        <f>IF(OR(Y942="",Q942="Concluído"),"",Y942-TODAY())</f>
        <v/>
      </c>
      <c r="AB942" s="5" t="n"/>
      <c r="AC942" s="5" t="n"/>
      <c r="AD942" s="4" t="n"/>
    </row>
    <row r="943">
      <c r="A943" s="3">
        <f>IF(C943="","",ROW()-1)</f>
        <v/>
      </c>
      <c r="B943" s="4" t="n"/>
      <c r="C943" s="4" t="n"/>
      <c r="D943" s="5" t="n"/>
      <c r="E943" s="5" t="n"/>
      <c r="F943" s="5" t="n"/>
      <c r="G943" s="5" t="n"/>
      <c r="H943" s="5" t="n"/>
      <c r="I943" s="5" t="n"/>
      <c r="J943" s="5" t="n"/>
      <c r="K943" s="6" t="n"/>
      <c r="L943" s="6" t="n"/>
      <c r="M943" s="6" t="n"/>
      <c r="N943" s="5" t="n"/>
      <c r="O943" s="21" t="n"/>
      <c r="P943" s="5" t="n"/>
      <c r="Q943" s="5" t="n"/>
      <c r="R943" s="6" t="n"/>
      <c r="S943" s="4" t="n"/>
      <c r="T943" s="4" t="n"/>
      <c r="U943" s="3">
        <f>IF(C943="","",IF(T943="",TODAY()-C943,T943-C943))</f>
        <v/>
      </c>
      <c r="V943" s="5" t="n"/>
      <c r="W943" s="6" t="n"/>
      <c r="X943" s="3">
        <f>IF(P943="","",IFERROR(VLOOKUP(P943,Parâmetros!$J$2:$K$5,2,FALSE),""))</f>
        <v/>
      </c>
      <c r="Y943" s="4">
        <f>IF(OR(C943="",X943=""),"",C943+X943)</f>
        <v/>
      </c>
      <c r="Z943" s="5">
        <f>IF(C943="","",IF(Q943="Concluído","Concluído",IF(Y943&lt;TODAY(),"Vencido",IF(Y943-TODAY()&lt;=2,"A vencer","No prazo"))))</f>
        <v/>
      </c>
      <c r="AA943" s="3">
        <f>IF(OR(Y943="",Q943="Concluído"),"",Y943-TODAY())</f>
        <v/>
      </c>
      <c r="AB943" s="5" t="n"/>
      <c r="AC943" s="5" t="n"/>
      <c r="AD943" s="4" t="n"/>
    </row>
    <row r="944">
      <c r="A944" s="3">
        <f>IF(C944="","",ROW()-1)</f>
        <v/>
      </c>
      <c r="B944" s="4" t="n"/>
      <c r="C944" s="4" t="n"/>
      <c r="D944" s="5" t="n"/>
      <c r="E944" s="5" t="n"/>
      <c r="F944" s="5" t="n"/>
      <c r="G944" s="5" t="n"/>
      <c r="H944" s="5" t="n"/>
      <c r="I944" s="5" t="n"/>
      <c r="J944" s="5" t="n"/>
      <c r="K944" s="6" t="n"/>
      <c r="L944" s="6" t="n"/>
      <c r="M944" s="6" t="n"/>
      <c r="N944" s="5" t="n"/>
      <c r="O944" s="21" t="n"/>
      <c r="P944" s="5" t="n"/>
      <c r="Q944" s="5" t="n"/>
      <c r="R944" s="6" t="n"/>
      <c r="S944" s="4" t="n"/>
      <c r="T944" s="4" t="n"/>
      <c r="U944" s="3">
        <f>IF(C944="","",IF(T944="",TODAY()-C944,T944-C944))</f>
        <v/>
      </c>
      <c r="V944" s="5" t="n"/>
      <c r="W944" s="6" t="n"/>
      <c r="X944" s="3">
        <f>IF(P944="","",IFERROR(VLOOKUP(P944,Parâmetros!$J$2:$K$5,2,FALSE),""))</f>
        <v/>
      </c>
      <c r="Y944" s="4">
        <f>IF(OR(C944="",X944=""),"",C944+X944)</f>
        <v/>
      </c>
      <c r="Z944" s="5">
        <f>IF(C944="","",IF(Q944="Concluído","Concluído",IF(Y944&lt;TODAY(),"Vencido",IF(Y944-TODAY()&lt;=2,"A vencer","No prazo"))))</f>
        <v/>
      </c>
      <c r="AA944" s="3">
        <f>IF(OR(Y944="",Q944="Concluído"),"",Y944-TODAY())</f>
        <v/>
      </c>
      <c r="AB944" s="5" t="n"/>
      <c r="AC944" s="5" t="n"/>
      <c r="AD944" s="4" t="n"/>
    </row>
    <row r="945">
      <c r="A945" s="3">
        <f>IF(C945="","",ROW()-1)</f>
        <v/>
      </c>
      <c r="B945" s="4" t="n"/>
      <c r="C945" s="4" t="n"/>
      <c r="D945" s="5" t="n"/>
      <c r="E945" s="5" t="n"/>
      <c r="F945" s="5" t="n"/>
      <c r="G945" s="5" t="n"/>
      <c r="H945" s="5" t="n"/>
      <c r="I945" s="5" t="n"/>
      <c r="J945" s="5" t="n"/>
      <c r="K945" s="6" t="n"/>
      <c r="L945" s="6" t="n"/>
      <c r="M945" s="6" t="n"/>
      <c r="N945" s="5" t="n"/>
      <c r="O945" s="21" t="n"/>
      <c r="P945" s="5" t="n"/>
      <c r="Q945" s="5" t="n"/>
      <c r="R945" s="6" t="n"/>
      <c r="S945" s="4" t="n"/>
      <c r="T945" s="4" t="n"/>
      <c r="U945" s="3">
        <f>IF(C945="","",IF(T945="",TODAY()-C945,T945-C945))</f>
        <v/>
      </c>
      <c r="V945" s="5" t="n"/>
      <c r="W945" s="6" t="n"/>
      <c r="X945" s="3">
        <f>IF(P945="","",IFERROR(VLOOKUP(P945,Parâmetros!$J$2:$K$5,2,FALSE),""))</f>
        <v/>
      </c>
      <c r="Y945" s="4">
        <f>IF(OR(C945="",X945=""),"",C945+X945)</f>
        <v/>
      </c>
      <c r="Z945" s="5">
        <f>IF(C945="","",IF(Q945="Concluído","Concluído",IF(Y945&lt;TODAY(),"Vencido",IF(Y945-TODAY()&lt;=2,"A vencer","No prazo"))))</f>
        <v/>
      </c>
      <c r="AA945" s="3">
        <f>IF(OR(Y945="",Q945="Concluído"),"",Y945-TODAY())</f>
        <v/>
      </c>
      <c r="AB945" s="5" t="n"/>
      <c r="AC945" s="5" t="n"/>
      <c r="AD945" s="4" t="n"/>
    </row>
    <row r="946">
      <c r="A946" s="3">
        <f>IF(C946="","",ROW()-1)</f>
        <v/>
      </c>
      <c r="B946" s="4" t="n"/>
      <c r="C946" s="4" t="n"/>
      <c r="D946" s="5" t="n"/>
      <c r="E946" s="5" t="n"/>
      <c r="F946" s="5" t="n"/>
      <c r="G946" s="5" t="n"/>
      <c r="H946" s="5" t="n"/>
      <c r="I946" s="5" t="n"/>
      <c r="J946" s="5" t="n"/>
      <c r="K946" s="6" t="n"/>
      <c r="L946" s="6" t="n"/>
      <c r="M946" s="6" t="n"/>
      <c r="N946" s="5" t="n"/>
      <c r="O946" s="21" t="n"/>
      <c r="P946" s="5" t="n"/>
      <c r="Q946" s="5" t="n"/>
      <c r="R946" s="6" t="n"/>
      <c r="S946" s="4" t="n"/>
      <c r="T946" s="4" t="n"/>
      <c r="U946" s="3">
        <f>IF(C946="","",IF(T946="",TODAY()-C946,T946-C946))</f>
        <v/>
      </c>
      <c r="V946" s="5" t="n"/>
      <c r="W946" s="6" t="n"/>
      <c r="X946" s="3">
        <f>IF(P946="","",IFERROR(VLOOKUP(P946,Parâmetros!$J$2:$K$5,2,FALSE),""))</f>
        <v/>
      </c>
      <c r="Y946" s="4">
        <f>IF(OR(C946="",X946=""),"",C946+X946)</f>
        <v/>
      </c>
      <c r="Z946" s="5">
        <f>IF(C946="","",IF(Q946="Concluído","Concluído",IF(Y946&lt;TODAY(),"Vencido",IF(Y946-TODAY()&lt;=2,"A vencer","No prazo"))))</f>
        <v/>
      </c>
      <c r="AA946" s="3">
        <f>IF(OR(Y946="",Q946="Concluído"),"",Y946-TODAY())</f>
        <v/>
      </c>
      <c r="AB946" s="5" t="n"/>
      <c r="AC946" s="5" t="n"/>
      <c r="AD946" s="4" t="n"/>
    </row>
    <row r="947">
      <c r="A947" s="3">
        <f>IF(C947="","",ROW()-1)</f>
        <v/>
      </c>
      <c r="B947" s="4" t="n"/>
      <c r="C947" s="4" t="n"/>
      <c r="D947" s="5" t="n"/>
      <c r="E947" s="5" t="n"/>
      <c r="F947" s="5" t="n"/>
      <c r="G947" s="5" t="n"/>
      <c r="H947" s="5" t="n"/>
      <c r="I947" s="5" t="n"/>
      <c r="J947" s="5" t="n"/>
      <c r="K947" s="6" t="n"/>
      <c r="L947" s="6" t="n"/>
      <c r="M947" s="6" t="n"/>
      <c r="N947" s="5" t="n"/>
      <c r="O947" s="21" t="n"/>
      <c r="P947" s="5" t="n"/>
      <c r="Q947" s="5" t="n"/>
      <c r="R947" s="6" t="n"/>
      <c r="S947" s="4" t="n"/>
      <c r="T947" s="4" t="n"/>
      <c r="U947" s="3">
        <f>IF(C947="","",IF(T947="",TODAY()-C947,T947-C947))</f>
        <v/>
      </c>
      <c r="V947" s="5" t="n"/>
      <c r="W947" s="6" t="n"/>
      <c r="X947" s="3">
        <f>IF(P947="","",IFERROR(VLOOKUP(P947,Parâmetros!$J$2:$K$5,2,FALSE),""))</f>
        <v/>
      </c>
      <c r="Y947" s="4">
        <f>IF(OR(C947="",X947=""),"",C947+X947)</f>
        <v/>
      </c>
      <c r="Z947" s="5">
        <f>IF(C947="","",IF(Q947="Concluído","Concluído",IF(Y947&lt;TODAY(),"Vencido",IF(Y947-TODAY()&lt;=2,"A vencer","No prazo"))))</f>
        <v/>
      </c>
      <c r="AA947" s="3">
        <f>IF(OR(Y947="",Q947="Concluído"),"",Y947-TODAY())</f>
        <v/>
      </c>
      <c r="AB947" s="5" t="n"/>
      <c r="AC947" s="5" t="n"/>
      <c r="AD947" s="4" t="n"/>
    </row>
    <row r="948">
      <c r="A948" s="3">
        <f>IF(C948="","",ROW()-1)</f>
        <v/>
      </c>
      <c r="B948" s="4" t="n"/>
      <c r="C948" s="4" t="n"/>
      <c r="D948" s="5" t="n"/>
      <c r="E948" s="5" t="n"/>
      <c r="F948" s="5" t="n"/>
      <c r="G948" s="5" t="n"/>
      <c r="H948" s="5" t="n"/>
      <c r="I948" s="5" t="n"/>
      <c r="J948" s="5" t="n"/>
      <c r="K948" s="6" t="n"/>
      <c r="L948" s="6" t="n"/>
      <c r="M948" s="6" t="n"/>
      <c r="N948" s="5" t="n"/>
      <c r="O948" s="21" t="n"/>
      <c r="P948" s="5" t="n"/>
      <c r="Q948" s="5" t="n"/>
      <c r="R948" s="6" t="n"/>
      <c r="S948" s="4" t="n"/>
      <c r="T948" s="4" t="n"/>
      <c r="U948" s="3">
        <f>IF(C948="","",IF(T948="",TODAY()-C948,T948-C948))</f>
        <v/>
      </c>
      <c r="V948" s="5" t="n"/>
      <c r="W948" s="6" t="n"/>
      <c r="X948" s="3">
        <f>IF(P948="","",IFERROR(VLOOKUP(P948,Parâmetros!$J$2:$K$5,2,FALSE),""))</f>
        <v/>
      </c>
      <c r="Y948" s="4">
        <f>IF(OR(C948="",X948=""),"",C948+X948)</f>
        <v/>
      </c>
      <c r="Z948" s="5">
        <f>IF(C948="","",IF(Q948="Concluído","Concluído",IF(Y948&lt;TODAY(),"Vencido",IF(Y948-TODAY()&lt;=2,"A vencer","No prazo"))))</f>
        <v/>
      </c>
      <c r="AA948" s="3">
        <f>IF(OR(Y948="",Q948="Concluído"),"",Y948-TODAY())</f>
        <v/>
      </c>
      <c r="AB948" s="5" t="n"/>
      <c r="AC948" s="5" t="n"/>
      <c r="AD948" s="4" t="n"/>
    </row>
    <row r="949">
      <c r="A949" s="3">
        <f>IF(C949="","",ROW()-1)</f>
        <v/>
      </c>
      <c r="B949" s="4" t="n"/>
      <c r="C949" s="4" t="n"/>
      <c r="D949" s="5" t="n"/>
      <c r="E949" s="5" t="n"/>
      <c r="F949" s="5" t="n"/>
      <c r="G949" s="5" t="n"/>
      <c r="H949" s="5" t="n"/>
      <c r="I949" s="5" t="n"/>
      <c r="J949" s="5" t="n"/>
      <c r="K949" s="6" t="n"/>
      <c r="L949" s="6" t="n"/>
      <c r="M949" s="6" t="n"/>
      <c r="N949" s="5" t="n"/>
      <c r="O949" s="21" t="n"/>
      <c r="P949" s="5" t="n"/>
      <c r="Q949" s="5" t="n"/>
      <c r="R949" s="6" t="n"/>
      <c r="S949" s="4" t="n"/>
      <c r="T949" s="4" t="n"/>
      <c r="U949" s="3">
        <f>IF(C949="","",IF(T949="",TODAY()-C949,T949-C949))</f>
        <v/>
      </c>
      <c r="V949" s="5" t="n"/>
      <c r="W949" s="6" t="n"/>
      <c r="X949" s="3">
        <f>IF(P949="","",IFERROR(VLOOKUP(P949,Parâmetros!$J$2:$K$5,2,FALSE),""))</f>
        <v/>
      </c>
      <c r="Y949" s="4">
        <f>IF(OR(C949="",X949=""),"",C949+X949)</f>
        <v/>
      </c>
      <c r="Z949" s="5">
        <f>IF(C949="","",IF(Q949="Concluído","Concluído",IF(Y949&lt;TODAY(),"Vencido",IF(Y949-TODAY()&lt;=2,"A vencer","No prazo"))))</f>
        <v/>
      </c>
      <c r="AA949" s="3">
        <f>IF(OR(Y949="",Q949="Concluído"),"",Y949-TODAY())</f>
        <v/>
      </c>
      <c r="AB949" s="5" t="n"/>
      <c r="AC949" s="5" t="n"/>
      <c r="AD949" s="4" t="n"/>
    </row>
    <row r="950">
      <c r="A950" s="3">
        <f>IF(C950="","",ROW()-1)</f>
        <v/>
      </c>
      <c r="B950" s="4" t="n"/>
      <c r="C950" s="4" t="n"/>
      <c r="D950" s="5" t="n"/>
      <c r="E950" s="5" t="n"/>
      <c r="F950" s="5" t="n"/>
      <c r="G950" s="5" t="n"/>
      <c r="H950" s="5" t="n"/>
      <c r="I950" s="5" t="n"/>
      <c r="J950" s="5" t="n"/>
      <c r="K950" s="6" t="n"/>
      <c r="L950" s="6" t="n"/>
      <c r="M950" s="6" t="n"/>
      <c r="N950" s="5" t="n"/>
      <c r="O950" s="21" t="n"/>
      <c r="P950" s="5" t="n"/>
      <c r="Q950" s="5" t="n"/>
      <c r="R950" s="6" t="n"/>
      <c r="S950" s="4" t="n"/>
      <c r="T950" s="4" t="n"/>
      <c r="U950" s="3">
        <f>IF(C950="","",IF(T950="",TODAY()-C950,T950-C950))</f>
        <v/>
      </c>
      <c r="V950" s="5" t="n"/>
      <c r="W950" s="6" t="n"/>
      <c r="X950" s="3">
        <f>IF(P950="","",IFERROR(VLOOKUP(P950,Parâmetros!$J$2:$K$5,2,FALSE),""))</f>
        <v/>
      </c>
      <c r="Y950" s="4">
        <f>IF(OR(C950="",X950=""),"",C950+X950)</f>
        <v/>
      </c>
      <c r="Z950" s="5">
        <f>IF(C950="","",IF(Q950="Concluído","Concluído",IF(Y950&lt;TODAY(),"Vencido",IF(Y950-TODAY()&lt;=2,"A vencer","No prazo"))))</f>
        <v/>
      </c>
      <c r="AA950" s="3">
        <f>IF(OR(Y950="",Q950="Concluído"),"",Y950-TODAY())</f>
        <v/>
      </c>
      <c r="AB950" s="5" t="n"/>
      <c r="AC950" s="5" t="n"/>
      <c r="AD950" s="4" t="n"/>
    </row>
    <row r="951">
      <c r="A951" s="3">
        <f>IF(C951="","",ROW()-1)</f>
        <v/>
      </c>
      <c r="B951" s="4" t="n"/>
      <c r="C951" s="4" t="n"/>
      <c r="D951" s="5" t="n"/>
      <c r="E951" s="5" t="n"/>
      <c r="F951" s="5" t="n"/>
      <c r="G951" s="5" t="n"/>
      <c r="H951" s="5" t="n"/>
      <c r="I951" s="5" t="n"/>
      <c r="J951" s="5" t="n"/>
      <c r="K951" s="6" t="n"/>
      <c r="L951" s="6" t="n"/>
      <c r="M951" s="6" t="n"/>
      <c r="N951" s="5" t="n"/>
      <c r="O951" s="21" t="n"/>
      <c r="P951" s="5" t="n"/>
      <c r="Q951" s="5" t="n"/>
      <c r="R951" s="6" t="n"/>
      <c r="S951" s="4" t="n"/>
      <c r="T951" s="4" t="n"/>
      <c r="U951" s="3">
        <f>IF(C951="","",IF(T951="",TODAY()-C951,T951-C951))</f>
        <v/>
      </c>
      <c r="V951" s="5" t="n"/>
      <c r="W951" s="6" t="n"/>
      <c r="X951" s="3">
        <f>IF(P951="","",IFERROR(VLOOKUP(P951,Parâmetros!$J$2:$K$5,2,FALSE),""))</f>
        <v/>
      </c>
      <c r="Y951" s="4">
        <f>IF(OR(C951="",X951=""),"",C951+X951)</f>
        <v/>
      </c>
      <c r="Z951" s="5">
        <f>IF(C951="","",IF(Q951="Concluído","Concluído",IF(Y951&lt;TODAY(),"Vencido",IF(Y951-TODAY()&lt;=2,"A vencer","No prazo"))))</f>
        <v/>
      </c>
      <c r="AA951" s="3">
        <f>IF(OR(Y951="",Q951="Concluído"),"",Y951-TODAY())</f>
        <v/>
      </c>
      <c r="AB951" s="5" t="n"/>
      <c r="AC951" s="5" t="n"/>
      <c r="AD951" s="4" t="n"/>
    </row>
    <row r="952">
      <c r="A952" s="3">
        <f>IF(C952="","",ROW()-1)</f>
        <v/>
      </c>
      <c r="B952" s="4" t="n"/>
      <c r="C952" s="4" t="n"/>
      <c r="D952" s="5" t="n"/>
      <c r="E952" s="5" t="n"/>
      <c r="F952" s="5" t="n"/>
      <c r="G952" s="5" t="n"/>
      <c r="H952" s="5" t="n"/>
      <c r="I952" s="5" t="n"/>
      <c r="J952" s="5" t="n"/>
      <c r="K952" s="6" t="n"/>
      <c r="L952" s="6" t="n"/>
      <c r="M952" s="6" t="n"/>
      <c r="N952" s="5" t="n"/>
      <c r="O952" s="21" t="n"/>
      <c r="P952" s="5" t="n"/>
      <c r="Q952" s="5" t="n"/>
      <c r="R952" s="6" t="n"/>
      <c r="S952" s="4" t="n"/>
      <c r="T952" s="4" t="n"/>
      <c r="U952" s="3">
        <f>IF(C952="","",IF(T952="",TODAY()-C952,T952-C952))</f>
        <v/>
      </c>
      <c r="V952" s="5" t="n"/>
      <c r="W952" s="6" t="n"/>
      <c r="X952" s="3">
        <f>IF(P952="","",IFERROR(VLOOKUP(P952,Parâmetros!$J$2:$K$5,2,FALSE),""))</f>
        <v/>
      </c>
      <c r="Y952" s="4">
        <f>IF(OR(C952="",X952=""),"",C952+X952)</f>
        <v/>
      </c>
      <c r="Z952" s="5">
        <f>IF(C952="","",IF(Q952="Concluído","Concluído",IF(Y952&lt;TODAY(),"Vencido",IF(Y952-TODAY()&lt;=2,"A vencer","No prazo"))))</f>
        <v/>
      </c>
      <c r="AA952" s="3">
        <f>IF(OR(Y952="",Q952="Concluído"),"",Y952-TODAY())</f>
        <v/>
      </c>
      <c r="AB952" s="5" t="n"/>
      <c r="AC952" s="5" t="n"/>
      <c r="AD952" s="4" t="n"/>
    </row>
    <row r="953">
      <c r="A953" s="3">
        <f>IF(C953="","",ROW()-1)</f>
        <v/>
      </c>
      <c r="B953" s="4" t="n"/>
      <c r="C953" s="4" t="n"/>
      <c r="D953" s="5" t="n"/>
      <c r="E953" s="5" t="n"/>
      <c r="F953" s="5" t="n"/>
      <c r="G953" s="5" t="n"/>
      <c r="H953" s="5" t="n"/>
      <c r="I953" s="5" t="n"/>
      <c r="J953" s="5" t="n"/>
      <c r="K953" s="6" t="n"/>
      <c r="L953" s="6" t="n"/>
      <c r="M953" s="6" t="n"/>
      <c r="N953" s="5" t="n"/>
      <c r="O953" s="21" t="n"/>
      <c r="P953" s="5" t="n"/>
      <c r="Q953" s="5" t="n"/>
      <c r="R953" s="6" t="n"/>
      <c r="S953" s="4" t="n"/>
      <c r="T953" s="4" t="n"/>
      <c r="U953" s="3">
        <f>IF(C953="","",IF(T953="",TODAY()-C953,T953-C953))</f>
        <v/>
      </c>
      <c r="V953" s="5" t="n"/>
      <c r="W953" s="6" t="n"/>
      <c r="X953" s="3">
        <f>IF(P953="","",IFERROR(VLOOKUP(P953,Parâmetros!$J$2:$K$5,2,FALSE),""))</f>
        <v/>
      </c>
      <c r="Y953" s="4">
        <f>IF(OR(C953="",X953=""),"",C953+X953)</f>
        <v/>
      </c>
      <c r="Z953" s="5">
        <f>IF(C953="","",IF(Q953="Concluído","Concluído",IF(Y953&lt;TODAY(),"Vencido",IF(Y953-TODAY()&lt;=2,"A vencer","No prazo"))))</f>
        <v/>
      </c>
      <c r="AA953" s="3">
        <f>IF(OR(Y953="",Q953="Concluído"),"",Y953-TODAY())</f>
        <v/>
      </c>
      <c r="AB953" s="5" t="n"/>
      <c r="AC953" s="5" t="n"/>
      <c r="AD953" s="4" t="n"/>
    </row>
    <row r="954">
      <c r="A954" s="3">
        <f>IF(C954="","",ROW()-1)</f>
        <v/>
      </c>
      <c r="B954" s="4" t="n"/>
      <c r="C954" s="4" t="n"/>
      <c r="D954" s="5" t="n"/>
      <c r="E954" s="5" t="n"/>
      <c r="F954" s="5" t="n"/>
      <c r="G954" s="5" t="n"/>
      <c r="H954" s="5" t="n"/>
      <c r="I954" s="5" t="n"/>
      <c r="J954" s="5" t="n"/>
      <c r="K954" s="6" t="n"/>
      <c r="L954" s="6" t="n"/>
      <c r="M954" s="6" t="n"/>
      <c r="N954" s="5" t="n"/>
      <c r="O954" s="21" t="n"/>
      <c r="P954" s="5" t="n"/>
      <c r="Q954" s="5" t="n"/>
      <c r="R954" s="6" t="n"/>
      <c r="S954" s="4" t="n"/>
      <c r="T954" s="4" t="n"/>
      <c r="U954" s="3">
        <f>IF(C954="","",IF(T954="",TODAY()-C954,T954-C954))</f>
        <v/>
      </c>
      <c r="V954" s="5" t="n"/>
      <c r="W954" s="6" t="n"/>
      <c r="X954" s="3">
        <f>IF(P954="","",IFERROR(VLOOKUP(P954,Parâmetros!$J$2:$K$5,2,FALSE),""))</f>
        <v/>
      </c>
      <c r="Y954" s="4">
        <f>IF(OR(C954="",X954=""),"",C954+X954)</f>
        <v/>
      </c>
      <c r="Z954" s="5">
        <f>IF(C954="","",IF(Q954="Concluído","Concluído",IF(Y954&lt;TODAY(),"Vencido",IF(Y954-TODAY()&lt;=2,"A vencer","No prazo"))))</f>
        <v/>
      </c>
      <c r="AA954" s="3">
        <f>IF(OR(Y954="",Q954="Concluído"),"",Y954-TODAY())</f>
        <v/>
      </c>
      <c r="AB954" s="5" t="n"/>
      <c r="AC954" s="5" t="n"/>
      <c r="AD954" s="4" t="n"/>
    </row>
    <row r="955">
      <c r="A955" s="3">
        <f>IF(C955="","",ROW()-1)</f>
        <v/>
      </c>
      <c r="B955" s="4" t="n"/>
      <c r="C955" s="4" t="n"/>
      <c r="D955" s="5" t="n"/>
      <c r="E955" s="5" t="n"/>
      <c r="F955" s="5" t="n"/>
      <c r="G955" s="5" t="n"/>
      <c r="H955" s="5" t="n"/>
      <c r="I955" s="5" t="n"/>
      <c r="J955" s="5" t="n"/>
      <c r="K955" s="6" t="n"/>
      <c r="L955" s="6" t="n"/>
      <c r="M955" s="6" t="n"/>
      <c r="N955" s="5" t="n"/>
      <c r="O955" s="21" t="n"/>
      <c r="P955" s="5" t="n"/>
      <c r="Q955" s="5" t="n"/>
      <c r="R955" s="6" t="n"/>
      <c r="S955" s="4" t="n"/>
      <c r="T955" s="4" t="n"/>
      <c r="U955" s="3">
        <f>IF(C955="","",IF(T955="",TODAY()-C955,T955-C955))</f>
        <v/>
      </c>
      <c r="V955" s="5" t="n"/>
      <c r="W955" s="6" t="n"/>
      <c r="X955" s="3">
        <f>IF(P955="","",IFERROR(VLOOKUP(P955,Parâmetros!$J$2:$K$5,2,FALSE),""))</f>
        <v/>
      </c>
      <c r="Y955" s="4">
        <f>IF(OR(C955="",X955=""),"",C955+X955)</f>
        <v/>
      </c>
      <c r="Z955" s="5">
        <f>IF(C955="","",IF(Q955="Concluído","Concluído",IF(Y955&lt;TODAY(),"Vencido",IF(Y955-TODAY()&lt;=2,"A vencer","No prazo"))))</f>
        <v/>
      </c>
      <c r="AA955" s="3">
        <f>IF(OR(Y955="",Q955="Concluído"),"",Y955-TODAY())</f>
        <v/>
      </c>
      <c r="AB955" s="5" t="n"/>
      <c r="AC955" s="5" t="n"/>
      <c r="AD955" s="4" t="n"/>
    </row>
    <row r="956">
      <c r="A956" s="3">
        <f>IF(C956="","",ROW()-1)</f>
        <v/>
      </c>
      <c r="B956" s="4" t="n"/>
      <c r="C956" s="4" t="n"/>
      <c r="D956" s="5" t="n"/>
      <c r="E956" s="5" t="n"/>
      <c r="F956" s="5" t="n"/>
      <c r="G956" s="5" t="n"/>
      <c r="H956" s="5" t="n"/>
      <c r="I956" s="5" t="n"/>
      <c r="J956" s="5" t="n"/>
      <c r="K956" s="6" t="n"/>
      <c r="L956" s="6" t="n"/>
      <c r="M956" s="6" t="n"/>
      <c r="N956" s="5" t="n"/>
      <c r="O956" s="21" t="n"/>
      <c r="P956" s="5" t="n"/>
      <c r="Q956" s="5" t="n"/>
      <c r="R956" s="6" t="n"/>
      <c r="S956" s="4" t="n"/>
      <c r="T956" s="4" t="n"/>
      <c r="U956" s="3">
        <f>IF(C956="","",IF(T956="",TODAY()-C956,T956-C956))</f>
        <v/>
      </c>
      <c r="V956" s="5" t="n"/>
      <c r="W956" s="6" t="n"/>
      <c r="X956" s="3">
        <f>IF(P956="","",IFERROR(VLOOKUP(P956,Parâmetros!$J$2:$K$5,2,FALSE),""))</f>
        <v/>
      </c>
      <c r="Y956" s="4">
        <f>IF(OR(C956="",X956=""),"",C956+X956)</f>
        <v/>
      </c>
      <c r="Z956" s="5">
        <f>IF(C956="","",IF(Q956="Concluído","Concluído",IF(Y956&lt;TODAY(),"Vencido",IF(Y956-TODAY()&lt;=2,"A vencer","No prazo"))))</f>
        <v/>
      </c>
      <c r="AA956" s="3">
        <f>IF(OR(Y956="",Q956="Concluído"),"",Y956-TODAY())</f>
        <v/>
      </c>
      <c r="AB956" s="5" t="n"/>
      <c r="AC956" s="5" t="n"/>
      <c r="AD956" s="4" t="n"/>
    </row>
    <row r="957">
      <c r="A957" s="3">
        <f>IF(C957="","",ROW()-1)</f>
        <v/>
      </c>
      <c r="B957" s="4" t="n"/>
      <c r="C957" s="4" t="n"/>
      <c r="D957" s="5" t="n"/>
      <c r="E957" s="5" t="n"/>
      <c r="F957" s="5" t="n"/>
      <c r="G957" s="5" t="n"/>
      <c r="H957" s="5" t="n"/>
      <c r="I957" s="5" t="n"/>
      <c r="J957" s="5" t="n"/>
      <c r="K957" s="6" t="n"/>
      <c r="L957" s="6" t="n"/>
      <c r="M957" s="6" t="n"/>
      <c r="N957" s="5" t="n"/>
      <c r="O957" s="21" t="n"/>
      <c r="P957" s="5" t="n"/>
      <c r="Q957" s="5" t="n"/>
      <c r="R957" s="6" t="n"/>
      <c r="S957" s="4" t="n"/>
      <c r="T957" s="4" t="n"/>
      <c r="U957" s="3">
        <f>IF(C957="","",IF(T957="",TODAY()-C957,T957-C957))</f>
        <v/>
      </c>
      <c r="V957" s="5" t="n"/>
      <c r="W957" s="6" t="n"/>
      <c r="X957" s="3">
        <f>IF(P957="","",IFERROR(VLOOKUP(P957,Parâmetros!$J$2:$K$5,2,FALSE),""))</f>
        <v/>
      </c>
      <c r="Y957" s="4">
        <f>IF(OR(C957="",X957=""),"",C957+X957)</f>
        <v/>
      </c>
      <c r="Z957" s="5">
        <f>IF(C957="","",IF(Q957="Concluído","Concluído",IF(Y957&lt;TODAY(),"Vencido",IF(Y957-TODAY()&lt;=2,"A vencer","No prazo"))))</f>
        <v/>
      </c>
      <c r="AA957" s="3">
        <f>IF(OR(Y957="",Q957="Concluído"),"",Y957-TODAY())</f>
        <v/>
      </c>
      <c r="AB957" s="5" t="n"/>
      <c r="AC957" s="5" t="n"/>
      <c r="AD957" s="4" t="n"/>
    </row>
    <row r="958">
      <c r="A958" s="3">
        <f>IF(C958="","",ROW()-1)</f>
        <v/>
      </c>
      <c r="B958" s="4" t="n"/>
      <c r="C958" s="4" t="n"/>
      <c r="D958" s="5" t="n"/>
      <c r="E958" s="5" t="n"/>
      <c r="F958" s="5" t="n"/>
      <c r="G958" s="5" t="n"/>
      <c r="H958" s="5" t="n"/>
      <c r="I958" s="5" t="n"/>
      <c r="J958" s="5" t="n"/>
      <c r="K958" s="6" t="n"/>
      <c r="L958" s="6" t="n"/>
      <c r="M958" s="6" t="n"/>
      <c r="N958" s="5" t="n"/>
      <c r="O958" s="21" t="n"/>
      <c r="P958" s="5" t="n"/>
      <c r="Q958" s="5" t="n"/>
      <c r="R958" s="6" t="n"/>
      <c r="S958" s="4" t="n"/>
      <c r="T958" s="4" t="n"/>
      <c r="U958" s="3">
        <f>IF(C958="","",IF(T958="",TODAY()-C958,T958-C958))</f>
        <v/>
      </c>
      <c r="V958" s="5" t="n"/>
      <c r="W958" s="6" t="n"/>
      <c r="X958" s="3">
        <f>IF(P958="","",IFERROR(VLOOKUP(P958,Parâmetros!$J$2:$K$5,2,FALSE),""))</f>
        <v/>
      </c>
      <c r="Y958" s="4">
        <f>IF(OR(C958="",X958=""),"",C958+X958)</f>
        <v/>
      </c>
      <c r="Z958" s="5">
        <f>IF(C958="","",IF(Q958="Concluído","Concluído",IF(Y958&lt;TODAY(),"Vencido",IF(Y958-TODAY()&lt;=2,"A vencer","No prazo"))))</f>
        <v/>
      </c>
      <c r="AA958" s="3">
        <f>IF(OR(Y958="",Q958="Concluído"),"",Y958-TODAY())</f>
        <v/>
      </c>
      <c r="AB958" s="5" t="n"/>
      <c r="AC958" s="5" t="n"/>
      <c r="AD958" s="4" t="n"/>
    </row>
    <row r="959">
      <c r="A959" s="3">
        <f>IF(C959="","",ROW()-1)</f>
        <v/>
      </c>
      <c r="B959" s="4" t="n"/>
      <c r="C959" s="4" t="n"/>
      <c r="D959" s="5" t="n"/>
      <c r="E959" s="5" t="n"/>
      <c r="F959" s="5" t="n"/>
      <c r="G959" s="5" t="n"/>
      <c r="H959" s="5" t="n"/>
      <c r="I959" s="5" t="n"/>
      <c r="J959" s="5" t="n"/>
      <c r="K959" s="6" t="n"/>
      <c r="L959" s="6" t="n"/>
      <c r="M959" s="6" t="n"/>
      <c r="N959" s="5" t="n"/>
      <c r="O959" s="21" t="n"/>
      <c r="P959" s="5" t="n"/>
      <c r="Q959" s="5" t="n"/>
      <c r="R959" s="6" t="n"/>
      <c r="S959" s="4" t="n"/>
      <c r="T959" s="4" t="n"/>
      <c r="U959" s="3">
        <f>IF(C959="","",IF(T959="",TODAY()-C959,T959-C959))</f>
        <v/>
      </c>
      <c r="V959" s="5" t="n"/>
      <c r="W959" s="6" t="n"/>
      <c r="X959" s="3">
        <f>IF(P959="","",IFERROR(VLOOKUP(P959,Parâmetros!$J$2:$K$5,2,FALSE),""))</f>
        <v/>
      </c>
      <c r="Y959" s="4">
        <f>IF(OR(C959="",X959=""),"",C959+X959)</f>
        <v/>
      </c>
      <c r="Z959" s="5">
        <f>IF(C959="","",IF(Q959="Concluído","Concluído",IF(Y959&lt;TODAY(),"Vencido",IF(Y959-TODAY()&lt;=2,"A vencer","No prazo"))))</f>
        <v/>
      </c>
      <c r="AA959" s="3">
        <f>IF(OR(Y959="",Q959="Concluído"),"",Y959-TODAY())</f>
        <v/>
      </c>
      <c r="AB959" s="5" t="n"/>
      <c r="AC959" s="5" t="n"/>
      <c r="AD959" s="4" t="n"/>
    </row>
    <row r="960">
      <c r="A960" s="3">
        <f>IF(C960="","",ROW()-1)</f>
        <v/>
      </c>
      <c r="B960" s="4" t="n"/>
      <c r="C960" s="4" t="n"/>
      <c r="D960" s="5" t="n"/>
      <c r="E960" s="5" t="n"/>
      <c r="F960" s="5" t="n"/>
      <c r="G960" s="5" t="n"/>
      <c r="H960" s="5" t="n"/>
      <c r="I960" s="5" t="n"/>
      <c r="J960" s="5" t="n"/>
      <c r="K960" s="6" t="n"/>
      <c r="L960" s="6" t="n"/>
      <c r="M960" s="6" t="n"/>
      <c r="N960" s="5" t="n"/>
      <c r="O960" s="21" t="n"/>
      <c r="P960" s="5" t="n"/>
      <c r="Q960" s="5" t="n"/>
      <c r="R960" s="6" t="n"/>
      <c r="S960" s="4" t="n"/>
      <c r="T960" s="4" t="n"/>
      <c r="U960" s="3">
        <f>IF(C960="","",IF(T960="",TODAY()-C960,T960-C960))</f>
        <v/>
      </c>
      <c r="V960" s="5" t="n"/>
      <c r="W960" s="6" t="n"/>
      <c r="X960" s="3">
        <f>IF(P960="","",IFERROR(VLOOKUP(P960,Parâmetros!$J$2:$K$5,2,FALSE),""))</f>
        <v/>
      </c>
      <c r="Y960" s="4">
        <f>IF(OR(C960="",X960=""),"",C960+X960)</f>
        <v/>
      </c>
      <c r="Z960" s="5">
        <f>IF(C960="","",IF(Q960="Concluído","Concluído",IF(Y960&lt;TODAY(),"Vencido",IF(Y960-TODAY()&lt;=2,"A vencer","No prazo"))))</f>
        <v/>
      </c>
      <c r="AA960" s="3">
        <f>IF(OR(Y960="",Q960="Concluído"),"",Y960-TODAY())</f>
        <v/>
      </c>
      <c r="AB960" s="5" t="n"/>
      <c r="AC960" s="5" t="n"/>
      <c r="AD960" s="4" t="n"/>
    </row>
    <row r="961">
      <c r="A961" s="3">
        <f>IF(C961="","",ROW()-1)</f>
        <v/>
      </c>
      <c r="B961" s="4" t="n"/>
      <c r="C961" s="4" t="n"/>
      <c r="D961" s="5" t="n"/>
      <c r="E961" s="5" t="n"/>
      <c r="F961" s="5" t="n"/>
      <c r="G961" s="5" t="n"/>
      <c r="H961" s="5" t="n"/>
      <c r="I961" s="5" t="n"/>
      <c r="J961" s="5" t="n"/>
      <c r="K961" s="6" t="n"/>
      <c r="L961" s="6" t="n"/>
      <c r="M961" s="6" t="n"/>
      <c r="N961" s="5" t="n"/>
      <c r="O961" s="21" t="n"/>
      <c r="P961" s="5" t="n"/>
      <c r="Q961" s="5" t="n"/>
      <c r="R961" s="6" t="n"/>
      <c r="S961" s="4" t="n"/>
      <c r="T961" s="4" t="n"/>
      <c r="U961" s="3">
        <f>IF(C961="","",IF(T961="",TODAY()-C961,T961-C961))</f>
        <v/>
      </c>
      <c r="V961" s="5" t="n"/>
      <c r="W961" s="6" t="n"/>
      <c r="X961" s="3">
        <f>IF(P961="","",IFERROR(VLOOKUP(P961,Parâmetros!$J$2:$K$5,2,FALSE),""))</f>
        <v/>
      </c>
      <c r="Y961" s="4">
        <f>IF(OR(C961="",X961=""),"",C961+X961)</f>
        <v/>
      </c>
      <c r="Z961" s="5">
        <f>IF(C961="","",IF(Q961="Concluído","Concluído",IF(Y961&lt;TODAY(),"Vencido",IF(Y961-TODAY()&lt;=2,"A vencer","No prazo"))))</f>
        <v/>
      </c>
      <c r="AA961" s="3">
        <f>IF(OR(Y961="",Q961="Concluído"),"",Y961-TODAY())</f>
        <v/>
      </c>
      <c r="AB961" s="5" t="n"/>
      <c r="AC961" s="5" t="n"/>
      <c r="AD961" s="4" t="n"/>
    </row>
    <row r="962">
      <c r="A962" s="3">
        <f>IF(C962="","",ROW()-1)</f>
        <v/>
      </c>
      <c r="B962" s="4" t="n"/>
      <c r="C962" s="4" t="n"/>
      <c r="D962" s="5" t="n"/>
      <c r="E962" s="5" t="n"/>
      <c r="F962" s="5" t="n"/>
      <c r="G962" s="5" t="n"/>
      <c r="H962" s="5" t="n"/>
      <c r="I962" s="5" t="n"/>
      <c r="J962" s="5" t="n"/>
      <c r="K962" s="6" t="n"/>
      <c r="L962" s="6" t="n"/>
      <c r="M962" s="6" t="n"/>
      <c r="N962" s="5" t="n"/>
      <c r="O962" s="21" t="n"/>
      <c r="P962" s="5" t="n"/>
      <c r="Q962" s="5" t="n"/>
      <c r="R962" s="6" t="n"/>
      <c r="S962" s="4" t="n"/>
      <c r="T962" s="4" t="n"/>
      <c r="U962" s="3">
        <f>IF(C962="","",IF(T962="",TODAY()-C962,T962-C962))</f>
        <v/>
      </c>
      <c r="V962" s="5" t="n"/>
      <c r="W962" s="6" t="n"/>
      <c r="X962" s="3">
        <f>IF(P962="","",IFERROR(VLOOKUP(P962,Parâmetros!$J$2:$K$5,2,FALSE),""))</f>
        <v/>
      </c>
      <c r="Y962" s="4">
        <f>IF(OR(C962="",X962=""),"",C962+X962)</f>
        <v/>
      </c>
      <c r="Z962" s="5">
        <f>IF(C962="","",IF(Q962="Concluído","Concluído",IF(Y962&lt;TODAY(),"Vencido",IF(Y962-TODAY()&lt;=2,"A vencer","No prazo"))))</f>
        <v/>
      </c>
      <c r="AA962" s="3">
        <f>IF(OR(Y962="",Q962="Concluído"),"",Y962-TODAY())</f>
        <v/>
      </c>
      <c r="AB962" s="5" t="n"/>
      <c r="AC962" s="5" t="n"/>
      <c r="AD962" s="4" t="n"/>
    </row>
    <row r="963">
      <c r="A963" s="3">
        <f>IF(C963="","",ROW()-1)</f>
        <v/>
      </c>
      <c r="B963" s="4" t="n"/>
      <c r="C963" s="4" t="n"/>
      <c r="D963" s="5" t="n"/>
      <c r="E963" s="5" t="n"/>
      <c r="F963" s="5" t="n"/>
      <c r="G963" s="5" t="n"/>
      <c r="H963" s="5" t="n"/>
      <c r="I963" s="5" t="n"/>
      <c r="J963" s="5" t="n"/>
      <c r="K963" s="6" t="n"/>
      <c r="L963" s="6" t="n"/>
      <c r="M963" s="6" t="n"/>
      <c r="N963" s="5" t="n"/>
      <c r="O963" s="21" t="n"/>
      <c r="P963" s="5" t="n"/>
      <c r="Q963" s="5" t="n"/>
      <c r="R963" s="6" t="n"/>
      <c r="S963" s="4" t="n"/>
      <c r="T963" s="4" t="n"/>
      <c r="U963" s="3">
        <f>IF(C963="","",IF(T963="",TODAY()-C963,T963-C963))</f>
        <v/>
      </c>
      <c r="V963" s="5" t="n"/>
      <c r="W963" s="6" t="n"/>
      <c r="X963" s="3">
        <f>IF(P963="","",IFERROR(VLOOKUP(P963,Parâmetros!$J$2:$K$5,2,FALSE),""))</f>
        <v/>
      </c>
      <c r="Y963" s="4">
        <f>IF(OR(C963="",X963=""),"",C963+X963)</f>
        <v/>
      </c>
      <c r="Z963" s="5">
        <f>IF(C963="","",IF(Q963="Concluído","Concluído",IF(Y963&lt;TODAY(),"Vencido",IF(Y963-TODAY()&lt;=2,"A vencer","No prazo"))))</f>
        <v/>
      </c>
      <c r="AA963" s="3">
        <f>IF(OR(Y963="",Q963="Concluído"),"",Y963-TODAY())</f>
        <v/>
      </c>
      <c r="AB963" s="5" t="n"/>
      <c r="AC963" s="5" t="n"/>
      <c r="AD963" s="4" t="n"/>
    </row>
    <row r="964">
      <c r="A964" s="3">
        <f>IF(C964="","",ROW()-1)</f>
        <v/>
      </c>
      <c r="B964" s="4" t="n"/>
      <c r="C964" s="4" t="n"/>
      <c r="D964" s="5" t="n"/>
      <c r="E964" s="5" t="n"/>
      <c r="F964" s="5" t="n"/>
      <c r="G964" s="5" t="n"/>
      <c r="H964" s="5" t="n"/>
      <c r="I964" s="5" t="n"/>
      <c r="J964" s="5" t="n"/>
      <c r="K964" s="6" t="n"/>
      <c r="L964" s="6" t="n"/>
      <c r="M964" s="6" t="n"/>
      <c r="N964" s="5" t="n"/>
      <c r="O964" s="21" t="n"/>
      <c r="P964" s="5" t="n"/>
      <c r="Q964" s="5" t="n"/>
      <c r="R964" s="6" t="n"/>
      <c r="S964" s="4" t="n"/>
      <c r="T964" s="4" t="n"/>
      <c r="U964" s="3">
        <f>IF(C964="","",IF(T964="",TODAY()-C964,T964-C964))</f>
        <v/>
      </c>
      <c r="V964" s="5" t="n"/>
      <c r="W964" s="6" t="n"/>
      <c r="X964" s="3">
        <f>IF(P964="","",IFERROR(VLOOKUP(P964,Parâmetros!$J$2:$K$5,2,FALSE),""))</f>
        <v/>
      </c>
      <c r="Y964" s="4">
        <f>IF(OR(C964="",X964=""),"",C964+X964)</f>
        <v/>
      </c>
      <c r="Z964" s="5">
        <f>IF(C964="","",IF(Q964="Concluído","Concluído",IF(Y964&lt;TODAY(),"Vencido",IF(Y964-TODAY()&lt;=2,"A vencer","No prazo"))))</f>
        <v/>
      </c>
      <c r="AA964" s="3">
        <f>IF(OR(Y964="",Q964="Concluído"),"",Y964-TODAY())</f>
        <v/>
      </c>
      <c r="AB964" s="5" t="n"/>
      <c r="AC964" s="5" t="n"/>
      <c r="AD964" s="4" t="n"/>
    </row>
    <row r="965">
      <c r="A965" s="3">
        <f>IF(C965="","",ROW()-1)</f>
        <v/>
      </c>
      <c r="B965" s="4" t="n"/>
      <c r="C965" s="4" t="n"/>
      <c r="D965" s="5" t="n"/>
      <c r="E965" s="5" t="n"/>
      <c r="F965" s="5" t="n"/>
      <c r="G965" s="5" t="n"/>
      <c r="H965" s="5" t="n"/>
      <c r="I965" s="5" t="n"/>
      <c r="J965" s="5" t="n"/>
      <c r="K965" s="6" t="n"/>
      <c r="L965" s="6" t="n"/>
      <c r="M965" s="6" t="n"/>
      <c r="N965" s="5" t="n"/>
      <c r="O965" s="21" t="n"/>
      <c r="P965" s="5" t="n"/>
      <c r="Q965" s="5" t="n"/>
      <c r="R965" s="6" t="n"/>
      <c r="S965" s="4" t="n"/>
      <c r="T965" s="4" t="n"/>
      <c r="U965" s="3">
        <f>IF(C965="","",IF(T965="",TODAY()-C965,T965-C965))</f>
        <v/>
      </c>
      <c r="V965" s="5" t="n"/>
      <c r="W965" s="6" t="n"/>
      <c r="X965" s="3">
        <f>IF(P965="","",IFERROR(VLOOKUP(P965,Parâmetros!$J$2:$K$5,2,FALSE),""))</f>
        <v/>
      </c>
      <c r="Y965" s="4">
        <f>IF(OR(C965="",X965=""),"",C965+X965)</f>
        <v/>
      </c>
      <c r="Z965" s="5">
        <f>IF(C965="","",IF(Q965="Concluído","Concluído",IF(Y965&lt;TODAY(),"Vencido",IF(Y965-TODAY()&lt;=2,"A vencer","No prazo"))))</f>
        <v/>
      </c>
      <c r="AA965" s="3">
        <f>IF(OR(Y965="",Q965="Concluído"),"",Y965-TODAY())</f>
        <v/>
      </c>
      <c r="AB965" s="5" t="n"/>
      <c r="AC965" s="5" t="n"/>
      <c r="AD965" s="4" t="n"/>
    </row>
    <row r="966">
      <c r="A966" s="3">
        <f>IF(C966="","",ROW()-1)</f>
        <v/>
      </c>
      <c r="B966" s="4" t="n"/>
      <c r="C966" s="4" t="n"/>
      <c r="D966" s="5" t="n"/>
      <c r="E966" s="5" t="n"/>
      <c r="F966" s="5" t="n"/>
      <c r="G966" s="5" t="n"/>
      <c r="H966" s="5" t="n"/>
      <c r="I966" s="5" t="n"/>
      <c r="J966" s="5" t="n"/>
      <c r="K966" s="6" t="n"/>
      <c r="L966" s="6" t="n"/>
      <c r="M966" s="6" t="n"/>
      <c r="N966" s="5" t="n"/>
      <c r="O966" s="21" t="n"/>
      <c r="P966" s="5" t="n"/>
      <c r="Q966" s="5" t="n"/>
      <c r="R966" s="6" t="n"/>
      <c r="S966" s="4" t="n"/>
      <c r="T966" s="4" t="n"/>
      <c r="U966" s="3">
        <f>IF(C966="","",IF(T966="",TODAY()-C966,T966-C966))</f>
        <v/>
      </c>
      <c r="V966" s="5" t="n"/>
      <c r="W966" s="6" t="n"/>
      <c r="X966" s="3">
        <f>IF(P966="","",IFERROR(VLOOKUP(P966,Parâmetros!$J$2:$K$5,2,FALSE),""))</f>
        <v/>
      </c>
      <c r="Y966" s="4">
        <f>IF(OR(C966="",X966=""),"",C966+X966)</f>
        <v/>
      </c>
      <c r="Z966" s="5">
        <f>IF(C966="","",IF(Q966="Concluído","Concluído",IF(Y966&lt;TODAY(),"Vencido",IF(Y966-TODAY()&lt;=2,"A vencer","No prazo"))))</f>
        <v/>
      </c>
      <c r="AA966" s="3">
        <f>IF(OR(Y966="",Q966="Concluído"),"",Y966-TODAY())</f>
        <v/>
      </c>
      <c r="AB966" s="5" t="n"/>
      <c r="AC966" s="5" t="n"/>
      <c r="AD966" s="4" t="n"/>
    </row>
    <row r="967">
      <c r="A967" s="3">
        <f>IF(C967="","",ROW()-1)</f>
        <v/>
      </c>
      <c r="B967" s="4" t="n"/>
      <c r="C967" s="4" t="n"/>
      <c r="D967" s="5" t="n"/>
      <c r="E967" s="5" t="n"/>
      <c r="F967" s="5" t="n"/>
      <c r="G967" s="5" t="n"/>
      <c r="H967" s="5" t="n"/>
      <c r="I967" s="5" t="n"/>
      <c r="J967" s="5" t="n"/>
      <c r="K967" s="6" t="n"/>
      <c r="L967" s="6" t="n"/>
      <c r="M967" s="6" t="n"/>
      <c r="N967" s="5" t="n"/>
      <c r="O967" s="21" t="n"/>
      <c r="P967" s="5" t="n"/>
      <c r="Q967" s="5" t="n"/>
      <c r="R967" s="6" t="n"/>
      <c r="S967" s="4" t="n"/>
      <c r="T967" s="4" t="n"/>
      <c r="U967" s="3">
        <f>IF(C967="","",IF(T967="",TODAY()-C967,T967-C967))</f>
        <v/>
      </c>
      <c r="V967" s="5" t="n"/>
      <c r="W967" s="6" t="n"/>
      <c r="X967" s="3">
        <f>IF(P967="","",IFERROR(VLOOKUP(P967,Parâmetros!$J$2:$K$5,2,FALSE),""))</f>
        <v/>
      </c>
      <c r="Y967" s="4">
        <f>IF(OR(C967="",X967=""),"",C967+X967)</f>
        <v/>
      </c>
      <c r="Z967" s="5">
        <f>IF(C967="","",IF(Q967="Concluído","Concluído",IF(Y967&lt;TODAY(),"Vencido",IF(Y967-TODAY()&lt;=2,"A vencer","No prazo"))))</f>
        <v/>
      </c>
      <c r="AA967" s="3">
        <f>IF(OR(Y967="",Q967="Concluído"),"",Y967-TODAY())</f>
        <v/>
      </c>
      <c r="AB967" s="5" t="n"/>
      <c r="AC967" s="5" t="n"/>
      <c r="AD967" s="4" t="n"/>
    </row>
    <row r="968">
      <c r="A968" s="3">
        <f>IF(C968="","",ROW()-1)</f>
        <v/>
      </c>
      <c r="B968" s="4" t="n"/>
      <c r="C968" s="4" t="n"/>
      <c r="D968" s="5" t="n"/>
      <c r="E968" s="5" t="n"/>
      <c r="F968" s="5" t="n"/>
      <c r="G968" s="5" t="n"/>
      <c r="H968" s="5" t="n"/>
      <c r="I968" s="5" t="n"/>
      <c r="J968" s="5" t="n"/>
      <c r="K968" s="6" t="n"/>
      <c r="L968" s="6" t="n"/>
      <c r="M968" s="6" t="n"/>
      <c r="N968" s="5" t="n"/>
      <c r="O968" s="21" t="n"/>
      <c r="P968" s="5" t="n"/>
      <c r="Q968" s="5" t="n"/>
      <c r="R968" s="6" t="n"/>
      <c r="S968" s="4" t="n"/>
      <c r="T968" s="4" t="n"/>
      <c r="U968" s="3">
        <f>IF(C968="","",IF(T968="",TODAY()-C968,T968-C968))</f>
        <v/>
      </c>
      <c r="V968" s="5" t="n"/>
      <c r="W968" s="6" t="n"/>
      <c r="X968" s="3">
        <f>IF(P968="","",IFERROR(VLOOKUP(P968,Parâmetros!$J$2:$K$5,2,FALSE),""))</f>
        <v/>
      </c>
      <c r="Y968" s="4">
        <f>IF(OR(C968="",X968=""),"",C968+X968)</f>
        <v/>
      </c>
      <c r="Z968" s="5">
        <f>IF(C968="","",IF(Q968="Concluído","Concluído",IF(Y968&lt;TODAY(),"Vencido",IF(Y968-TODAY()&lt;=2,"A vencer","No prazo"))))</f>
        <v/>
      </c>
      <c r="AA968" s="3">
        <f>IF(OR(Y968="",Q968="Concluído"),"",Y968-TODAY())</f>
        <v/>
      </c>
      <c r="AB968" s="5" t="n"/>
      <c r="AC968" s="5" t="n"/>
      <c r="AD968" s="4" t="n"/>
    </row>
    <row r="969">
      <c r="A969" s="3">
        <f>IF(C969="","",ROW()-1)</f>
        <v/>
      </c>
      <c r="B969" s="4" t="n"/>
      <c r="C969" s="4" t="n"/>
      <c r="D969" s="5" t="n"/>
      <c r="E969" s="5" t="n"/>
      <c r="F969" s="5" t="n"/>
      <c r="G969" s="5" t="n"/>
      <c r="H969" s="5" t="n"/>
      <c r="I969" s="5" t="n"/>
      <c r="J969" s="5" t="n"/>
      <c r="K969" s="6" t="n"/>
      <c r="L969" s="6" t="n"/>
      <c r="M969" s="6" t="n"/>
      <c r="N969" s="5" t="n"/>
      <c r="O969" s="21" t="n"/>
      <c r="P969" s="5" t="n"/>
      <c r="Q969" s="5" t="n"/>
      <c r="R969" s="6" t="n"/>
      <c r="S969" s="4" t="n"/>
      <c r="T969" s="4" t="n"/>
      <c r="U969" s="3">
        <f>IF(C969="","",IF(T969="",TODAY()-C969,T969-C969))</f>
        <v/>
      </c>
      <c r="V969" s="5" t="n"/>
      <c r="W969" s="6" t="n"/>
      <c r="X969" s="3">
        <f>IF(P969="","",IFERROR(VLOOKUP(P969,Parâmetros!$J$2:$K$5,2,FALSE),""))</f>
        <v/>
      </c>
      <c r="Y969" s="4">
        <f>IF(OR(C969="",X969=""),"",C969+X969)</f>
        <v/>
      </c>
      <c r="Z969" s="5">
        <f>IF(C969="","",IF(Q969="Concluído","Concluído",IF(Y969&lt;TODAY(),"Vencido",IF(Y969-TODAY()&lt;=2,"A vencer","No prazo"))))</f>
        <v/>
      </c>
      <c r="AA969" s="3">
        <f>IF(OR(Y969="",Q969="Concluído"),"",Y969-TODAY())</f>
        <v/>
      </c>
      <c r="AB969" s="5" t="n"/>
      <c r="AC969" s="5" t="n"/>
      <c r="AD969" s="4" t="n"/>
    </row>
    <row r="970">
      <c r="A970" s="3">
        <f>IF(C970="","",ROW()-1)</f>
        <v/>
      </c>
      <c r="B970" s="4" t="n"/>
      <c r="C970" s="4" t="n"/>
      <c r="D970" s="5" t="n"/>
      <c r="E970" s="5" t="n"/>
      <c r="F970" s="5" t="n"/>
      <c r="G970" s="5" t="n"/>
      <c r="H970" s="5" t="n"/>
      <c r="I970" s="5" t="n"/>
      <c r="J970" s="5" t="n"/>
      <c r="K970" s="6" t="n"/>
      <c r="L970" s="6" t="n"/>
      <c r="M970" s="6" t="n"/>
      <c r="N970" s="5" t="n"/>
      <c r="O970" s="21" t="n"/>
      <c r="P970" s="5" t="n"/>
      <c r="Q970" s="5" t="n"/>
      <c r="R970" s="6" t="n"/>
      <c r="S970" s="4" t="n"/>
      <c r="T970" s="4" t="n"/>
      <c r="U970" s="3">
        <f>IF(C970="","",IF(T970="",TODAY()-C970,T970-C970))</f>
        <v/>
      </c>
      <c r="V970" s="5" t="n"/>
      <c r="W970" s="6" t="n"/>
      <c r="X970" s="3">
        <f>IF(P970="","",IFERROR(VLOOKUP(P970,Parâmetros!$J$2:$K$5,2,FALSE),""))</f>
        <v/>
      </c>
      <c r="Y970" s="4">
        <f>IF(OR(C970="",X970=""),"",C970+X970)</f>
        <v/>
      </c>
      <c r="Z970" s="5">
        <f>IF(C970="","",IF(Q970="Concluído","Concluído",IF(Y970&lt;TODAY(),"Vencido",IF(Y970-TODAY()&lt;=2,"A vencer","No prazo"))))</f>
        <v/>
      </c>
      <c r="AA970" s="3">
        <f>IF(OR(Y970="",Q970="Concluído"),"",Y970-TODAY())</f>
        <v/>
      </c>
      <c r="AB970" s="5" t="n"/>
      <c r="AC970" s="5" t="n"/>
      <c r="AD970" s="4" t="n"/>
    </row>
    <row r="971">
      <c r="A971" s="3">
        <f>IF(C971="","",ROW()-1)</f>
        <v/>
      </c>
      <c r="B971" s="4" t="n"/>
      <c r="C971" s="4" t="n"/>
      <c r="D971" s="5" t="n"/>
      <c r="E971" s="5" t="n"/>
      <c r="F971" s="5" t="n"/>
      <c r="G971" s="5" t="n"/>
      <c r="H971" s="5" t="n"/>
      <c r="I971" s="5" t="n"/>
      <c r="J971" s="5" t="n"/>
      <c r="K971" s="6" t="n"/>
      <c r="L971" s="6" t="n"/>
      <c r="M971" s="6" t="n"/>
      <c r="N971" s="5" t="n"/>
      <c r="O971" s="21" t="n"/>
      <c r="P971" s="5" t="n"/>
      <c r="Q971" s="5" t="n"/>
      <c r="R971" s="6" t="n"/>
      <c r="S971" s="4" t="n"/>
      <c r="T971" s="4" t="n"/>
      <c r="U971" s="3">
        <f>IF(C971="","",IF(T971="",TODAY()-C971,T971-C971))</f>
        <v/>
      </c>
      <c r="V971" s="5" t="n"/>
      <c r="W971" s="6" t="n"/>
      <c r="X971" s="3">
        <f>IF(P971="","",IFERROR(VLOOKUP(P971,Parâmetros!$J$2:$K$5,2,FALSE),""))</f>
        <v/>
      </c>
      <c r="Y971" s="4">
        <f>IF(OR(C971="",X971=""),"",C971+X971)</f>
        <v/>
      </c>
      <c r="Z971" s="5">
        <f>IF(C971="","",IF(Q971="Concluído","Concluído",IF(Y971&lt;TODAY(),"Vencido",IF(Y971-TODAY()&lt;=2,"A vencer","No prazo"))))</f>
        <v/>
      </c>
      <c r="AA971" s="3">
        <f>IF(OR(Y971="",Q971="Concluído"),"",Y971-TODAY())</f>
        <v/>
      </c>
      <c r="AB971" s="5" t="n"/>
      <c r="AC971" s="5" t="n"/>
      <c r="AD971" s="4" t="n"/>
    </row>
    <row r="972">
      <c r="A972" s="3">
        <f>IF(C972="","",ROW()-1)</f>
        <v/>
      </c>
      <c r="B972" s="4" t="n"/>
      <c r="C972" s="4" t="n"/>
      <c r="D972" s="5" t="n"/>
      <c r="E972" s="5" t="n"/>
      <c r="F972" s="5" t="n"/>
      <c r="G972" s="5" t="n"/>
      <c r="H972" s="5" t="n"/>
      <c r="I972" s="5" t="n"/>
      <c r="J972" s="5" t="n"/>
      <c r="K972" s="6" t="n"/>
      <c r="L972" s="6" t="n"/>
      <c r="M972" s="6" t="n"/>
      <c r="N972" s="5" t="n"/>
      <c r="O972" s="21" t="n"/>
      <c r="P972" s="5" t="n"/>
      <c r="Q972" s="5" t="n"/>
      <c r="R972" s="6" t="n"/>
      <c r="S972" s="4" t="n"/>
      <c r="T972" s="4" t="n"/>
      <c r="U972" s="3">
        <f>IF(C972="","",IF(T972="",TODAY()-C972,T972-C972))</f>
        <v/>
      </c>
      <c r="V972" s="5" t="n"/>
      <c r="W972" s="6" t="n"/>
      <c r="X972" s="3">
        <f>IF(P972="","",IFERROR(VLOOKUP(P972,Parâmetros!$J$2:$K$5,2,FALSE),""))</f>
        <v/>
      </c>
      <c r="Y972" s="4">
        <f>IF(OR(C972="",X972=""),"",C972+X972)</f>
        <v/>
      </c>
      <c r="Z972" s="5">
        <f>IF(C972="","",IF(Q972="Concluído","Concluído",IF(Y972&lt;TODAY(),"Vencido",IF(Y972-TODAY()&lt;=2,"A vencer","No prazo"))))</f>
        <v/>
      </c>
      <c r="AA972" s="3">
        <f>IF(OR(Y972="",Q972="Concluído"),"",Y972-TODAY())</f>
        <v/>
      </c>
      <c r="AB972" s="5" t="n"/>
      <c r="AC972" s="5" t="n"/>
      <c r="AD972" s="4" t="n"/>
    </row>
    <row r="973">
      <c r="A973" s="3">
        <f>IF(C973="","",ROW()-1)</f>
        <v/>
      </c>
      <c r="B973" s="4" t="n"/>
      <c r="C973" s="4" t="n"/>
      <c r="D973" s="5" t="n"/>
      <c r="E973" s="5" t="n"/>
      <c r="F973" s="5" t="n"/>
      <c r="G973" s="5" t="n"/>
      <c r="H973" s="5" t="n"/>
      <c r="I973" s="5" t="n"/>
      <c r="J973" s="5" t="n"/>
      <c r="K973" s="6" t="n"/>
      <c r="L973" s="6" t="n"/>
      <c r="M973" s="6" t="n"/>
      <c r="N973" s="5" t="n"/>
      <c r="O973" s="21" t="n"/>
      <c r="P973" s="5" t="n"/>
      <c r="Q973" s="5" t="n"/>
      <c r="R973" s="6" t="n"/>
      <c r="S973" s="4" t="n"/>
      <c r="T973" s="4" t="n"/>
      <c r="U973" s="3">
        <f>IF(C973="","",IF(T973="",TODAY()-C973,T973-C973))</f>
        <v/>
      </c>
      <c r="V973" s="5" t="n"/>
      <c r="W973" s="6" t="n"/>
      <c r="X973" s="3">
        <f>IF(P973="","",IFERROR(VLOOKUP(P973,Parâmetros!$J$2:$K$5,2,FALSE),""))</f>
        <v/>
      </c>
      <c r="Y973" s="4">
        <f>IF(OR(C973="",X973=""),"",C973+X973)</f>
        <v/>
      </c>
      <c r="Z973" s="5">
        <f>IF(C973="","",IF(Q973="Concluído","Concluído",IF(Y973&lt;TODAY(),"Vencido",IF(Y973-TODAY()&lt;=2,"A vencer","No prazo"))))</f>
        <v/>
      </c>
      <c r="AA973" s="3">
        <f>IF(OR(Y973="",Q973="Concluído"),"",Y973-TODAY())</f>
        <v/>
      </c>
      <c r="AB973" s="5" t="n"/>
      <c r="AC973" s="5" t="n"/>
      <c r="AD973" s="4" t="n"/>
    </row>
    <row r="974">
      <c r="A974" s="3">
        <f>IF(C974="","",ROW()-1)</f>
        <v/>
      </c>
      <c r="B974" s="4" t="n"/>
      <c r="C974" s="4" t="n"/>
      <c r="D974" s="5" t="n"/>
      <c r="E974" s="5" t="n"/>
      <c r="F974" s="5" t="n"/>
      <c r="G974" s="5" t="n"/>
      <c r="H974" s="5" t="n"/>
      <c r="I974" s="5" t="n"/>
      <c r="J974" s="5" t="n"/>
      <c r="K974" s="6" t="n"/>
      <c r="L974" s="6" t="n"/>
      <c r="M974" s="6" t="n"/>
      <c r="N974" s="5" t="n"/>
      <c r="O974" s="21" t="n"/>
      <c r="P974" s="5" t="n"/>
      <c r="Q974" s="5" t="n"/>
      <c r="R974" s="6" t="n"/>
      <c r="S974" s="4" t="n"/>
      <c r="T974" s="4" t="n"/>
      <c r="U974" s="3">
        <f>IF(C974="","",IF(T974="",TODAY()-C974,T974-C974))</f>
        <v/>
      </c>
      <c r="V974" s="5" t="n"/>
      <c r="W974" s="6" t="n"/>
      <c r="X974" s="3">
        <f>IF(P974="","",IFERROR(VLOOKUP(P974,Parâmetros!$J$2:$K$5,2,FALSE),""))</f>
        <v/>
      </c>
      <c r="Y974" s="4">
        <f>IF(OR(C974="",X974=""),"",C974+X974)</f>
        <v/>
      </c>
      <c r="Z974" s="5">
        <f>IF(C974="","",IF(Q974="Concluído","Concluído",IF(Y974&lt;TODAY(),"Vencido",IF(Y974-TODAY()&lt;=2,"A vencer","No prazo"))))</f>
        <v/>
      </c>
      <c r="AA974" s="3">
        <f>IF(OR(Y974="",Q974="Concluído"),"",Y974-TODAY())</f>
        <v/>
      </c>
      <c r="AB974" s="5" t="n"/>
      <c r="AC974" s="5" t="n"/>
      <c r="AD974" s="4" t="n"/>
    </row>
    <row r="975">
      <c r="A975" s="3">
        <f>IF(C975="","",ROW()-1)</f>
        <v/>
      </c>
      <c r="B975" s="4" t="n"/>
      <c r="C975" s="4" t="n"/>
      <c r="D975" s="5" t="n"/>
      <c r="E975" s="5" t="n"/>
      <c r="F975" s="5" t="n"/>
      <c r="G975" s="5" t="n"/>
      <c r="H975" s="5" t="n"/>
      <c r="I975" s="5" t="n"/>
      <c r="J975" s="5" t="n"/>
      <c r="K975" s="6" t="n"/>
      <c r="L975" s="6" t="n"/>
      <c r="M975" s="6" t="n"/>
      <c r="N975" s="5" t="n"/>
      <c r="O975" s="21" t="n"/>
      <c r="P975" s="5" t="n"/>
      <c r="Q975" s="5" t="n"/>
      <c r="R975" s="6" t="n"/>
      <c r="S975" s="4" t="n"/>
      <c r="T975" s="4" t="n"/>
      <c r="U975" s="3">
        <f>IF(C975="","",IF(T975="",TODAY()-C975,T975-C975))</f>
        <v/>
      </c>
      <c r="V975" s="5" t="n"/>
      <c r="W975" s="6" t="n"/>
      <c r="X975" s="3">
        <f>IF(P975="","",IFERROR(VLOOKUP(P975,Parâmetros!$J$2:$K$5,2,FALSE),""))</f>
        <v/>
      </c>
      <c r="Y975" s="4">
        <f>IF(OR(C975="",X975=""),"",C975+X975)</f>
        <v/>
      </c>
      <c r="Z975" s="5">
        <f>IF(C975="","",IF(Q975="Concluído","Concluído",IF(Y975&lt;TODAY(),"Vencido",IF(Y975-TODAY()&lt;=2,"A vencer","No prazo"))))</f>
        <v/>
      </c>
      <c r="AA975" s="3">
        <f>IF(OR(Y975="",Q975="Concluído"),"",Y975-TODAY())</f>
        <v/>
      </c>
      <c r="AB975" s="5" t="n"/>
      <c r="AC975" s="5" t="n"/>
      <c r="AD975" s="4" t="n"/>
    </row>
    <row r="976">
      <c r="A976" s="3">
        <f>IF(C976="","",ROW()-1)</f>
        <v/>
      </c>
      <c r="B976" s="4" t="n"/>
      <c r="C976" s="4" t="n"/>
      <c r="D976" s="5" t="n"/>
      <c r="E976" s="5" t="n"/>
      <c r="F976" s="5" t="n"/>
      <c r="G976" s="5" t="n"/>
      <c r="H976" s="5" t="n"/>
      <c r="I976" s="5" t="n"/>
      <c r="J976" s="5" t="n"/>
      <c r="K976" s="6" t="n"/>
      <c r="L976" s="6" t="n"/>
      <c r="M976" s="6" t="n"/>
      <c r="N976" s="5" t="n"/>
      <c r="O976" s="21" t="n"/>
      <c r="P976" s="5" t="n"/>
      <c r="Q976" s="5" t="n"/>
      <c r="R976" s="6" t="n"/>
      <c r="S976" s="4" t="n"/>
      <c r="T976" s="4" t="n"/>
      <c r="U976" s="3">
        <f>IF(C976="","",IF(T976="",TODAY()-C976,T976-C976))</f>
        <v/>
      </c>
      <c r="V976" s="5" t="n"/>
      <c r="W976" s="6" t="n"/>
      <c r="X976" s="3">
        <f>IF(P976="","",IFERROR(VLOOKUP(P976,Parâmetros!$J$2:$K$5,2,FALSE),""))</f>
        <v/>
      </c>
      <c r="Y976" s="4">
        <f>IF(OR(C976="",X976=""),"",C976+X976)</f>
        <v/>
      </c>
      <c r="Z976" s="5">
        <f>IF(C976="","",IF(Q976="Concluído","Concluído",IF(Y976&lt;TODAY(),"Vencido",IF(Y976-TODAY()&lt;=2,"A vencer","No prazo"))))</f>
        <v/>
      </c>
      <c r="AA976" s="3">
        <f>IF(OR(Y976="",Q976="Concluído"),"",Y976-TODAY())</f>
        <v/>
      </c>
      <c r="AB976" s="5" t="n"/>
      <c r="AC976" s="5" t="n"/>
      <c r="AD976" s="4" t="n"/>
    </row>
    <row r="977">
      <c r="A977" s="3">
        <f>IF(C977="","",ROW()-1)</f>
        <v/>
      </c>
      <c r="B977" s="4" t="n"/>
      <c r="C977" s="4" t="n"/>
      <c r="D977" s="5" t="n"/>
      <c r="E977" s="5" t="n"/>
      <c r="F977" s="5" t="n"/>
      <c r="G977" s="5" t="n"/>
      <c r="H977" s="5" t="n"/>
      <c r="I977" s="5" t="n"/>
      <c r="J977" s="5" t="n"/>
      <c r="K977" s="6" t="n"/>
      <c r="L977" s="6" t="n"/>
      <c r="M977" s="6" t="n"/>
      <c r="N977" s="5" t="n"/>
      <c r="O977" s="21" t="n"/>
      <c r="P977" s="5" t="n"/>
      <c r="Q977" s="5" t="n"/>
      <c r="R977" s="6" t="n"/>
      <c r="S977" s="4" t="n"/>
      <c r="T977" s="4" t="n"/>
      <c r="U977" s="3">
        <f>IF(C977="","",IF(T977="",TODAY()-C977,T977-C977))</f>
        <v/>
      </c>
      <c r="V977" s="5" t="n"/>
      <c r="W977" s="6" t="n"/>
      <c r="X977" s="3">
        <f>IF(P977="","",IFERROR(VLOOKUP(P977,Parâmetros!$J$2:$K$5,2,FALSE),""))</f>
        <v/>
      </c>
      <c r="Y977" s="4">
        <f>IF(OR(C977="",X977=""),"",C977+X977)</f>
        <v/>
      </c>
      <c r="Z977" s="5">
        <f>IF(C977="","",IF(Q977="Concluído","Concluído",IF(Y977&lt;TODAY(),"Vencido",IF(Y977-TODAY()&lt;=2,"A vencer","No prazo"))))</f>
        <v/>
      </c>
      <c r="AA977" s="3">
        <f>IF(OR(Y977="",Q977="Concluído"),"",Y977-TODAY())</f>
        <v/>
      </c>
      <c r="AB977" s="5" t="n"/>
      <c r="AC977" s="5" t="n"/>
      <c r="AD977" s="4" t="n"/>
    </row>
    <row r="978">
      <c r="A978" s="3">
        <f>IF(C978="","",ROW()-1)</f>
        <v/>
      </c>
      <c r="B978" s="4" t="n"/>
      <c r="C978" s="4" t="n"/>
      <c r="D978" s="5" t="n"/>
      <c r="E978" s="5" t="n"/>
      <c r="F978" s="5" t="n"/>
      <c r="G978" s="5" t="n"/>
      <c r="H978" s="5" t="n"/>
      <c r="I978" s="5" t="n"/>
      <c r="J978" s="5" t="n"/>
      <c r="K978" s="6" t="n"/>
      <c r="L978" s="6" t="n"/>
      <c r="M978" s="6" t="n"/>
      <c r="N978" s="5" t="n"/>
      <c r="O978" s="21" t="n"/>
      <c r="P978" s="5" t="n"/>
      <c r="Q978" s="5" t="n"/>
      <c r="R978" s="6" t="n"/>
      <c r="S978" s="4" t="n"/>
      <c r="T978" s="4" t="n"/>
      <c r="U978" s="3">
        <f>IF(C978="","",IF(T978="",TODAY()-C978,T978-C978))</f>
        <v/>
      </c>
      <c r="V978" s="5" t="n"/>
      <c r="W978" s="6" t="n"/>
      <c r="X978" s="3">
        <f>IF(P978="","",IFERROR(VLOOKUP(P978,Parâmetros!$J$2:$K$5,2,FALSE),""))</f>
        <v/>
      </c>
      <c r="Y978" s="4">
        <f>IF(OR(C978="",X978=""),"",C978+X978)</f>
        <v/>
      </c>
      <c r="Z978" s="5">
        <f>IF(C978="","",IF(Q978="Concluído","Concluído",IF(Y978&lt;TODAY(),"Vencido",IF(Y978-TODAY()&lt;=2,"A vencer","No prazo"))))</f>
        <v/>
      </c>
      <c r="AA978" s="3">
        <f>IF(OR(Y978="",Q978="Concluído"),"",Y978-TODAY())</f>
        <v/>
      </c>
      <c r="AB978" s="5" t="n"/>
      <c r="AC978" s="5" t="n"/>
      <c r="AD978" s="4" t="n"/>
    </row>
    <row r="979">
      <c r="A979" s="3">
        <f>IF(C979="","",ROW()-1)</f>
        <v/>
      </c>
      <c r="B979" s="4" t="n"/>
      <c r="C979" s="4" t="n"/>
      <c r="D979" s="5" t="n"/>
      <c r="E979" s="5" t="n"/>
      <c r="F979" s="5" t="n"/>
      <c r="G979" s="5" t="n"/>
      <c r="H979" s="5" t="n"/>
      <c r="I979" s="5" t="n"/>
      <c r="J979" s="5" t="n"/>
      <c r="K979" s="6" t="n"/>
      <c r="L979" s="6" t="n"/>
      <c r="M979" s="6" t="n"/>
      <c r="N979" s="5" t="n"/>
      <c r="O979" s="21" t="n"/>
      <c r="P979" s="5" t="n"/>
      <c r="Q979" s="5" t="n"/>
      <c r="R979" s="6" t="n"/>
      <c r="S979" s="4" t="n"/>
      <c r="T979" s="4" t="n"/>
      <c r="U979" s="3">
        <f>IF(C979="","",IF(T979="",TODAY()-C979,T979-C979))</f>
        <v/>
      </c>
      <c r="V979" s="5" t="n"/>
      <c r="W979" s="6" t="n"/>
      <c r="X979" s="3">
        <f>IF(P979="","",IFERROR(VLOOKUP(P979,Parâmetros!$J$2:$K$5,2,FALSE),""))</f>
        <v/>
      </c>
      <c r="Y979" s="4">
        <f>IF(OR(C979="",X979=""),"",C979+X979)</f>
        <v/>
      </c>
      <c r="Z979" s="5">
        <f>IF(C979="","",IF(Q979="Concluído","Concluído",IF(Y979&lt;TODAY(),"Vencido",IF(Y979-TODAY()&lt;=2,"A vencer","No prazo"))))</f>
        <v/>
      </c>
      <c r="AA979" s="3">
        <f>IF(OR(Y979="",Q979="Concluído"),"",Y979-TODAY())</f>
        <v/>
      </c>
      <c r="AB979" s="5" t="n"/>
      <c r="AC979" s="5" t="n"/>
      <c r="AD979" s="4" t="n"/>
    </row>
    <row r="980">
      <c r="A980" s="3">
        <f>IF(C980="","",ROW()-1)</f>
        <v/>
      </c>
      <c r="B980" s="4" t="n"/>
      <c r="C980" s="4" t="n"/>
      <c r="D980" s="5" t="n"/>
      <c r="E980" s="5" t="n"/>
      <c r="F980" s="5" t="n"/>
      <c r="G980" s="5" t="n"/>
      <c r="H980" s="5" t="n"/>
      <c r="I980" s="5" t="n"/>
      <c r="J980" s="5" t="n"/>
      <c r="K980" s="6" t="n"/>
      <c r="L980" s="6" t="n"/>
      <c r="M980" s="6" t="n"/>
      <c r="N980" s="5" t="n"/>
      <c r="O980" s="21" t="n"/>
      <c r="P980" s="5" t="n"/>
      <c r="Q980" s="5" t="n"/>
      <c r="R980" s="6" t="n"/>
      <c r="S980" s="4" t="n"/>
      <c r="T980" s="4" t="n"/>
      <c r="U980" s="3">
        <f>IF(C980="","",IF(T980="",TODAY()-C980,T980-C980))</f>
        <v/>
      </c>
      <c r="V980" s="5" t="n"/>
      <c r="W980" s="6" t="n"/>
      <c r="X980" s="3">
        <f>IF(P980="","",IFERROR(VLOOKUP(P980,Parâmetros!$J$2:$K$5,2,FALSE),""))</f>
        <v/>
      </c>
      <c r="Y980" s="4">
        <f>IF(OR(C980="",X980=""),"",C980+X980)</f>
        <v/>
      </c>
      <c r="Z980" s="5">
        <f>IF(C980="","",IF(Q980="Concluído","Concluído",IF(Y980&lt;TODAY(),"Vencido",IF(Y980-TODAY()&lt;=2,"A vencer","No prazo"))))</f>
        <v/>
      </c>
      <c r="AA980" s="3">
        <f>IF(OR(Y980="",Q980="Concluído"),"",Y980-TODAY())</f>
        <v/>
      </c>
      <c r="AB980" s="5" t="n"/>
      <c r="AC980" s="5" t="n"/>
      <c r="AD980" s="4" t="n"/>
    </row>
    <row r="981">
      <c r="A981" s="3">
        <f>IF(C981="","",ROW()-1)</f>
        <v/>
      </c>
      <c r="B981" s="4" t="n"/>
      <c r="C981" s="4" t="n"/>
      <c r="D981" s="5" t="n"/>
      <c r="E981" s="5" t="n"/>
      <c r="F981" s="5" t="n"/>
      <c r="G981" s="5" t="n"/>
      <c r="H981" s="5" t="n"/>
      <c r="I981" s="5" t="n"/>
      <c r="J981" s="5" t="n"/>
      <c r="K981" s="6" t="n"/>
      <c r="L981" s="6" t="n"/>
      <c r="M981" s="6" t="n"/>
      <c r="N981" s="5" t="n"/>
      <c r="O981" s="21" t="n"/>
      <c r="P981" s="5" t="n"/>
      <c r="Q981" s="5" t="n"/>
      <c r="R981" s="6" t="n"/>
      <c r="S981" s="4" t="n"/>
      <c r="T981" s="4" t="n"/>
      <c r="U981" s="3">
        <f>IF(C981="","",IF(T981="",TODAY()-C981,T981-C981))</f>
        <v/>
      </c>
      <c r="V981" s="5" t="n"/>
      <c r="W981" s="6" t="n"/>
      <c r="X981" s="3">
        <f>IF(P981="","",IFERROR(VLOOKUP(P981,Parâmetros!$J$2:$K$5,2,FALSE),""))</f>
        <v/>
      </c>
      <c r="Y981" s="4">
        <f>IF(OR(C981="",X981=""),"",C981+X981)</f>
        <v/>
      </c>
      <c r="Z981" s="5">
        <f>IF(C981="","",IF(Q981="Concluído","Concluído",IF(Y981&lt;TODAY(),"Vencido",IF(Y981-TODAY()&lt;=2,"A vencer","No prazo"))))</f>
        <v/>
      </c>
      <c r="AA981" s="3">
        <f>IF(OR(Y981="",Q981="Concluído"),"",Y981-TODAY())</f>
        <v/>
      </c>
      <c r="AB981" s="5" t="n"/>
      <c r="AC981" s="5" t="n"/>
      <c r="AD981" s="4" t="n"/>
    </row>
    <row r="982">
      <c r="A982" s="3">
        <f>IF(C982="","",ROW()-1)</f>
        <v/>
      </c>
      <c r="B982" s="4" t="n"/>
      <c r="C982" s="4" t="n"/>
      <c r="D982" s="5" t="n"/>
      <c r="E982" s="5" t="n"/>
      <c r="F982" s="5" t="n"/>
      <c r="G982" s="5" t="n"/>
      <c r="H982" s="5" t="n"/>
      <c r="I982" s="5" t="n"/>
      <c r="J982" s="5" t="n"/>
      <c r="K982" s="6" t="n"/>
      <c r="L982" s="6" t="n"/>
      <c r="M982" s="6" t="n"/>
      <c r="N982" s="5" t="n"/>
      <c r="O982" s="21" t="n"/>
      <c r="P982" s="5" t="n"/>
      <c r="Q982" s="5" t="n"/>
      <c r="R982" s="6" t="n"/>
      <c r="S982" s="4" t="n"/>
      <c r="T982" s="4" t="n"/>
      <c r="U982" s="3">
        <f>IF(C982="","",IF(T982="",TODAY()-C982,T982-C982))</f>
        <v/>
      </c>
      <c r="V982" s="5" t="n"/>
      <c r="W982" s="6" t="n"/>
      <c r="X982" s="3">
        <f>IF(P982="","",IFERROR(VLOOKUP(P982,Parâmetros!$J$2:$K$5,2,FALSE),""))</f>
        <v/>
      </c>
      <c r="Y982" s="4">
        <f>IF(OR(C982="",X982=""),"",C982+X982)</f>
        <v/>
      </c>
      <c r="Z982" s="5">
        <f>IF(C982="","",IF(Q982="Concluído","Concluído",IF(Y982&lt;TODAY(),"Vencido",IF(Y982-TODAY()&lt;=2,"A vencer","No prazo"))))</f>
        <v/>
      </c>
      <c r="AA982" s="3">
        <f>IF(OR(Y982="",Q982="Concluído"),"",Y982-TODAY())</f>
        <v/>
      </c>
      <c r="AB982" s="5" t="n"/>
      <c r="AC982" s="5" t="n"/>
      <c r="AD982" s="4" t="n"/>
    </row>
    <row r="983">
      <c r="A983" s="3">
        <f>IF(C983="","",ROW()-1)</f>
        <v/>
      </c>
      <c r="B983" s="4" t="n"/>
      <c r="C983" s="4" t="n"/>
      <c r="D983" s="5" t="n"/>
      <c r="E983" s="5" t="n"/>
      <c r="F983" s="5" t="n"/>
      <c r="G983" s="5" t="n"/>
      <c r="H983" s="5" t="n"/>
      <c r="I983" s="5" t="n"/>
      <c r="J983" s="5" t="n"/>
      <c r="K983" s="6" t="n"/>
      <c r="L983" s="6" t="n"/>
      <c r="M983" s="6" t="n"/>
      <c r="N983" s="5" t="n"/>
      <c r="O983" s="21" t="n"/>
      <c r="P983" s="5" t="n"/>
      <c r="Q983" s="5" t="n"/>
      <c r="R983" s="6" t="n"/>
      <c r="S983" s="4" t="n"/>
      <c r="T983" s="4" t="n"/>
      <c r="U983" s="3">
        <f>IF(C983="","",IF(T983="",TODAY()-C983,T983-C983))</f>
        <v/>
      </c>
      <c r="V983" s="5" t="n"/>
      <c r="W983" s="6" t="n"/>
      <c r="X983" s="3">
        <f>IF(P983="","",IFERROR(VLOOKUP(P983,Parâmetros!$J$2:$K$5,2,FALSE),""))</f>
        <v/>
      </c>
      <c r="Y983" s="4">
        <f>IF(OR(C983="",X983=""),"",C983+X983)</f>
        <v/>
      </c>
      <c r="Z983" s="5">
        <f>IF(C983="","",IF(Q983="Concluído","Concluído",IF(Y983&lt;TODAY(),"Vencido",IF(Y983-TODAY()&lt;=2,"A vencer","No prazo"))))</f>
        <v/>
      </c>
      <c r="AA983" s="3">
        <f>IF(OR(Y983="",Q983="Concluído"),"",Y983-TODAY())</f>
        <v/>
      </c>
      <c r="AB983" s="5" t="n"/>
      <c r="AC983" s="5" t="n"/>
      <c r="AD983" s="4" t="n"/>
    </row>
    <row r="984">
      <c r="A984" s="3">
        <f>IF(C984="","",ROW()-1)</f>
        <v/>
      </c>
      <c r="B984" s="4" t="n"/>
      <c r="C984" s="4" t="n"/>
      <c r="D984" s="5" t="n"/>
      <c r="E984" s="5" t="n"/>
      <c r="F984" s="5" t="n"/>
      <c r="G984" s="5" t="n"/>
      <c r="H984" s="5" t="n"/>
      <c r="I984" s="5" t="n"/>
      <c r="J984" s="5" t="n"/>
      <c r="K984" s="6" t="n"/>
      <c r="L984" s="6" t="n"/>
      <c r="M984" s="6" t="n"/>
      <c r="N984" s="5" t="n"/>
      <c r="O984" s="21" t="n"/>
      <c r="P984" s="5" t="n"/>
      <c r="Q984" s="5" t="n"/>
      <c r="R984" s="6" t="n"/>
      <c r="S984" s="4" t="n"/>
      <c r="T984" s="4" t="n"/>
      <c r="U984" s="3">
        <f>IF(C984="","",IF(T984="",TODAY()-C984,T984-C984))</f>
        <v/>
      </c>
      <c r="V984" s="5" t="n"/>
      <c r="W984" s="6" t="n"/>
      <c r="X984" s="3">
        <f>IF(P984="","",IFERROR(VLOOKUP(P984,Parâmetros!$J$2:$K$5,2,FALSE),""))</f>
        <v/>
      </c>
      <c r="Y984" s="4">
        <f>IF(OR(C984="",X984=""),"",C984+X984)</f>
        <v/>
      </c>
      <c r="Z984" s="5">
        <f>IF(C984="","",IF(Q984="Concluído","Concluído",IF(Y984&lt;TODAY(),"Vencido",IF(Y984-TODAY()&lt;=2,"A vencer","No prazo"))))</f>
        <v/>
      </c>
      <c r="AA984" s="3">
        <f>IF(OR(Y984="",Q984="Concluído"),"",Y984-TODAY())</f>
        <v/>
      </c>
      <c r="AB984" s="5" t="n"/>
      <c r="AC984" s="5" t="n"/>
      <c r="AD984" s="4" t="n"/>
    </row>
    <row r="985">
      <c r="A985" s="3">
        <f>IF(C985="","",ROW()-1)</f>
        <v/>
      </c>
      <c r="B985" s="4" t="n"/>
      <c r="C985" s="4" t="n"/>
      <c r="D985" s="5" t="n"/>
      <c r="E985" s="5" t="n"/>
      <c r="F985" s="5" t="n"/>
      <c r="G985" s="5" t="n"/>
      <c r="H985" s="5" t="n"/>
      <c r="I985" s="5" t="n"/>
      <c r="J985" s="5" t="n"/>
      <c r="K985" s="6" t="n"/>
      <c r="L985" s="6" t="n"/>
      <c r="M985" s="6" t="n"/>
      <c r="N985" s="5" t="n"/>
      <c r="O985" s="21" t="n"/>
      <c r="P985" s="5" t="n"/>
      <c r="Q985" s="5" t="n"/>
      <c r="R985" s="6" t="n"/>
      <c r="S985" s="4" t="n"/>
      <c r="T985" s="4" t="n"/>
      <c r="U985" s="3">
        <f>IF(C985="","",IF(T985="",TODAY()-C985,T985-C985))</f>
        <v/>
      </c>
      <c r="V985" s="5" t="n"/>
      <c r="W985" s="6" t="n"/>
      <c r="X985" s="3">
        <f>IF(P985="","",IFERROR(VLOOKUP(P985,Parâmetros!$J$2:$K$5,2,FALSE),""))</f>
        <v/>
      </c>
      <c r="Y985" s="4">
        <f>IF(OR(C985="",X985=""),"",C985+X985)</f>
        <v/>
      </c>
      <c r="Z985" s="5">
        <f>IF(C985="","",IF(Q985="Concluído","Concluído",IF(Y985&lt;TODAY(),"Vencido",IF(Y985-TODAY()&lt;=2,"A vencer","No prazo"))))</f>
        <v/>
      </c>
      <c r="AA985" s="3">
        <f>IF(OR(Y985="",Q985="Concluído"),"",Y985-TODAY())</f>
        <v/>
      </c>
      <c r="AB985" s="5" t="n"/>
      <c r="AC985" s="5" t="n"/>
      <c r="AD985" s="4" t="n"/>
    </row>
    <row r="986">
      <c r="A986" s="3">
        <f>IF(C986="","",ROW()-1)</f>
        <v/>
      </c>
      <c r="B986" s="4" t="n"/>
      <c r="C986" s="4" t="n"/>
      <c r="D986" s="5" t="n"/>
      <c r="E986" s="5" t="n"/>
      <c r="F986" s="5" t="n"/>
      <c r="G986" s="5" t="n"/>
      <c r="H986" s="5" t="n"/>
      <c r="I986" s="5" t="n"/>
      <c r="J986" s="5" t="n"/>
      <c r="K986" s="6" t="n"/>
      <c r="L986" s="6" t="n"/>
      <c r="M986" s="6" t="n"/>
      <c r="N986" s="5" t="n"/>
      <c r="O986" s="21" t="n"/>
      <c r="P986" s="5" t="n"/>
      <c r="Q986" s="5" t="n"/>
      <c r="R986" s="6" t="n"/>
      <c r="S986" s="4" t="n"/>
      <c r="T986" s="4" t="n"/>
      <c r="U986" s="3">
        <f>IF(C986="","",IF(T986="",TODAY()-C986,T986-C986))</f>
        <v/>
      </c>
      <c r="V986" s="5" t="n"/>
      <c r="W986" s="6" t="n"/>
      <c r="X986" s="3">
        <f>IF(P986="","",IFERROR(VLOOKUP(P986,Parâmetros!$J$2:$K$5,2,FALSE),""))</f>
        <v/>
      </c>
      <c r="Y986" s="4">
        <f>IF(OR(C986="",X986=""),"",C986+X986)</f>
        <v/>
      </c>
      <c r="Z986" s="5">
        <f>IF(C986="","",IF(Q986="Concluído","Concluído",IF(Y986&lt;TODAY(),"Vencido",IF(Y986-TODAY()&lt;=2,"A vencer","No prazo"))))</f>
        <v/>
      </c>
      <c r="AA986" s="3">
        <f>IF(OR(Y986="",Q986="Concluído"),"",Y986-TODAY())</f>
        <v/>
      </c>
      <c r="AB986" s="5" t="n"/>
      <c r="AC986" s="5" t="n"/>
      <c r="AD986" s="4" t="n"/>
    </row>
    <row r="987">
      <c r="A987" s="3">
        <f>IF(C987="","",ROW()-1)</f>
        <v/>
      </c>
      <c r="B987" s="4" t="n"/>
      <c r="C987" s="4" t="n"/>
      <c r="D987" s="5" t="n"/>
      <c r="E987" s="5" t="n"/>
      <c r="F987" s="5" t="n"/>
      <c r="G987" s="5" t="n"/>
      <c r="H987" s="5" t="n"/>
      <c r="I987" s="5" t="n"/>
      <c r="J987" s="5" t="n"/>
      <c r="K987" s="6" t="n"/>
      <c r="L987" s="6" t="n"/>
      <c r="M987" s="6" t="n"/>
      <c r="N987" s="5" t="n"/>
      <c r="O987" s="21" t="n"/>
      <c r="P987" s="5" t="n"/>
      <c r="Q987" s="5" t="n"/>
      <c r="R987" s="6" t="n"/>
      <c r="S987" s="4" t="n"/>
      <c r="T987" s="4" t="n"/>
      <c r="U987" s="3">
        <f>IF(C987="","",IF(T987="",TODAY()-C987,T987-C987))</f>
        <v/>
      </c>
      <c r="V987" s="5" t="n"/>
      <c r="W987" s="6" t="n"/>
      <c r="X987" s="3">
        <f>IF(P987="","",IFERROR(VLOOKUP(P987,Parâmetros!$J$2:$K$5,2,FALSE),""))</f>
        <v/>
      </c>
      <c r="Y987" s="4">
        <f>IF(OR(C987="",X987=""),"",C987+X987)</f>
        <v/>
      </c>
      <c r="Z987" s="5">
        <f>IF(C987="","",IF(Q987="Concluído","Concluído",IF(Y987&lt;TODAY(),"Vencido",IF(Y987-TODAY()&lt;=2,"A vencer","No prazo"))))</f>
        <v/>
      </c>
      <c r="AA987" s="3">
        <f>IF(OR(Y987="",Q987="Concluído"),"",Y987-TODAY())</f>
        <v/>
      </c>
      <c r="AB987" s="5" t="n"/>
      <c r="AC987" s="5" t="n"/>
      <c r="AD987" s="4" t="n"/>
    </row>
    <row r="988">
      <c r="A988" s="3">
        <f>IF(C988="","",ROW()-1)</f>
        <v/>
      </c>
      <c r="B988" s="4" t="n"/>
      <c r="C988" s="4" t="n"/>
      <c r="D988" s="5" t="n"/>
      <c r="E988" s="5" t="n"/>
      <c r="F988" s="5" t="n"/>
      <c r="G988" s="5" t="n"/>
      <c r="H988" s="5" t="n"/>
      <c r="I988" s="5" t="n"/>
      <c r="J988" s="5" t="n"/>
      <c r="K988" s="6" t="n"/>
      <c r="L988" s="6" t="n"/>
      <c r="M988" s="6" t="n"/>
      <c r="N988" s="5" t="n"/>
      <c r="O988" s="21" t="n"/>
      <c r="P988" s="5" t="n"/>
      <c r="Q988" s="5" t="n"/>
      <c r="R988" s="6" t="n"/>
      <c r="S988" s="4" t="n"/>
      <c r="T988" s="4" t="n"/>
      <c r="U988" s="3">
        <f>IF(C988="","",IF(T988="",TODAY()-C988,T988-C988))</f>
        <v/>
      </c>
      <c r="V988" s="5" t="n"/>
      <c r="W988" s="6" t="n"/>
      <c r="X988" s="3">
        <f>IF(P988="","",IFERROR(VLOOKUP(P988,Parâmetros!$J$2:$K$5,2,FALSE),""))</f>
        <v/>
      </c>
      <c r="Y988" s="4">
        <f>IF(OR(C988="",X988=""),"",C988+X988)</f>
        <v/>
      </c>
      <c r="Z988" s="5">
        <f>IF(C988="","",IF(Q988="Concluído","Concluído",IF(Y988&lt;TODAY(),"Vencido",IF(Y988-TODAY()&lt;=2,"A vencer","No prazo"))))</f>
        <v/>
      </c>
      <c r="AA988" s="3">
        <f>IF(OR(Y988="",Q988="Concluído"),"",Y988-TODAY())</f>
        <v/>
      </c>
      <c r="AB988" s="5" t="n"/>
      <c r="AC988" s="5" t="n"/>
      <c r="AD988" s="4" t="n"/>
    </row>
    <row r="989">
      <c r="A989" s="3">
        <f>IF(C989="","",ROW()-1)</f>
        <v/>
      </c>
      <c r="B989" s="4" t="n"/>
      <c r="C989" s="4" t="n"/>
      <c r="D989" s="5" t="n"/>
      <c r="E989" s="5" t="n"/>
      <c r="F989" s="5" t="n"/>
      <c r="G989" s="5" t="n"/>
      <c r="H989" s="5" t="n"/>
      <c r="I989" s="5" t="n"/>
      <c r="J989" s="5" t="n"/>
      <c r="K989" s="6" t="n"/>
      <c r="L989" s="6" t="n"/>
      <c r="M989" s="6" t="n"/>
      <c r="N989" s="5" t="n"/>
      <c r="O989" s="21" t="n"/>
      <c r="P989" s="5" t="n"/>
      <c r="Q989" s="5" t="n"/>
      <c r="R989" s="6" t="n"/>
      <c r="S989" s="4" t="n"/>
      <c r="T989" s="4" t="n"/>
      <c r="U989" s="3">
        <f>IF(C989="","",IF(T989="",TODAY()-C989,T989-C989))</f>
        <v/>
      </c>
      <c r="V989" s="5" t="n"/>
      <c r="W989" s="6" t="n"/>
      <c r="X989" s="3">
        <f>IF(P989="","",IFERROR(VLOOKUP(P989,Parâmetros!$J$2:$K$5,2,FALSE),""))</f>
        <v/>
      </c>
      <c r="Y989" s="4">
        <f>IF(OR(C989="",X989=""),"",C989+X989)</f>
        <v/>
      </c>
      <c r="Z989" s="5">
        <f>IF(C989="","",IF(Q989="Concluído","Concluído",IF(Y989&lt;TODAY(),"Vencido",IF(Y989-TODAY()&lt;=2,"A vencer","No prazo"))))</f>
        <v/>
      </c>
      <c r="AA989" s="3">
        <f>IF(OR(Y989="",Q989="Concluído"),"",Y989-TODAY())</f>
        <v/>
      </c>
      <c r="AB989" s="5" t="n"/>
      <c r="AC989" s="5" t="n"/>
      <c r="AD989" s="4" t="n"/>
    </row>
    <row r="990">
      <c r="A990" s="3">
        <f>IF(C990="","",ROW()-1)</f>
        <v/>
      </c>
      <c r="B990" s="4" t="n"/>
      <c r="C990" s="4" t="n"/>
      <c r="D990" s="5" t="n"/>
      <c r="E990" s="5" t="n"/>
      <c r="F990" s="5" t="n"/>
      <c r="G990" s="5" t="n"/>
      <c r="H990" s="5" t="n"/>
      <c r="I990" s="5" t="n"/>
      <c r="J990" s="5" t="n"/>
      <c r="K990" s="6" t="n"/>
      <c r="L990" s="6" t="n"/>
      <c r="M990" s="6" t="n"/>
      <c r="N990" s="5" t="n"/>
      <c r="O990" s="21" t="n"/>
      <c r="P990" s="5" t="n"/>
      <c r="Q990" s="5" t="n"/>
      <c r="R990" s="6" t="n"/>
      <c r="S990" s="4" t="n"/>
      <c r="T990" s="4" t="n"/>
      <c r="U990" s="3">
        <f>IF(C990="","",IF(T990="",TODAY()-C990,T990-C990))</f>
        <v/>
      </c>
      <c r="V990" s="5" t="n"/>
      <c r="W990" s="6" t="n"/>
      <c r="X990" s="3">
        <f>IF(P990="","",IFERROR(VLOOKUP(P990,Parâmetros!$J$2:$K$5,2,FALSE),""))</f>
        <v/>
      </c>
      <c r="Y990" s="4">
        <f>IF(OR(C990="",X990=""),"",C990+X990)</f>
        <v/>
      </c>
      <c r="Z990" s="5">
        <f>IF(C990="","",IF(Q990="Concluído","Concluído",IF(Y990&lt;TODAY(),"Vencido",IF(Y990-TODAY()&lt;=2,"A vencer","No prazo"))))</f>
        <v/>
      </c>
      <c r="AA990" s="3">
        <f>IF(OR(Y990="",Q990="Concluído"),"",Y990-TODAY())</f>
        <v/>
      </c>
      <c r="AB990" s="5" t="n"/>
      <c r="AC990" s="5" t="n"/>
      <c r="AD990" s="4" t="n"/>
    </row>
    <row r="991">
      <c r="A991" s="3">
        <f>IF(C991="","",ROW()-1)</f>
        <v/>
      </c>
      <c r="B991" s="4" t="n"/>
      <c r="C991" s="4" t="n"/>
      <c r="D991" s="5" t="n"/>
      <c r="E991" s="5" t="n"/>
      <c r="F991" s="5" t="n"/>
      <c r="G991" s="5" t="n"/>
      <c r="H991" s="5" t="n"/>
      <c r="I991" s="5" t="n"/>
      <c r="J991" s="5" t="n"/>
      <c r="K991" s="6" t="n"/>
      <c r="L991" s="6" t="n"/>
      <c r="M991" s="6" t="n"/>
      <c r="N991" s="5" t="n"/>
      <c r="O991" s="21" t="n"/>
      <c r="P991" s="5" t="n"/>
      <c r="Q991" s="5" t="n"/>
      <c r="R991" s="6" t="n"/>
      <c r="S991" s="4" t="n"/>
      <c r="T991" s="4" t="n"/>
      <c r="U991" s="3">
        <f>IF(C991="","",IF(T991="",TODAY()-C991,T991-C991))</f>
        <v/>
      </c>
      <c r="V991" s="5" t="n"/>
      <c r="W991" s="6" t="n"/>
      <c r="X991" s="3">
        <f>IF(P991="","",IFERROR(VLOOKUP(P991,Parâmetros!$J$2:$K$5,2,FALSE),""))</f>
        <v/>
      </c>
      <c r="Y991" s="4">
        <f>IF(OR(C991="",X991=""),"",C991+X991)</f>
        <v/>
      </c>
      <c r="Z991" s="5">
        <f>IF(C991="","",IF(Q991="Concluído","Concluído",IF(Y991&lt;TODAY(),"Vencido",IF(Y991-TODAY()&lt;=2,"A vencer","No prazo"))))</f>
        <v/>
      </c>
      <c r="AA991" s="3">
        <f>IF(OR(Y991="",Q991="Concluído"),"",Y991-TODAY())</f>
        <v/>
      </c>
      <c r="AB991" s="5" t="n"/>
      <c r="AC991" s="5" t="n"/>
      <c r="AD991" s="4" t="n"/>
    </row>
    <row r="992">
      <c r="A992" s="3">
        <f>IF(C992="","",ROW()-1)</f>
        <v/>
      </c>
      <c r="B992" s="4" t="n"/>
      <c r="C992" s="4" t="n"/>
      <c r="D992" s="5" t="n"/>
      <c r="E992" s="5" t="n"/>
      <c r="F992" s="5" t="n"/>
      <c r="G992" s="5" t="n"/>
      <c r="H992" s="5" t="n"/>
      <c r="I992" s="5" t="n"/>
      <c r="J992" s="5" t="n"/>
      <c r="K992" s="6" t="n"/>
      <c r="L992" s="6" t="n"/>
      <c r="M992" s="6" t="n"/>
      <c r="N992" s="5" t="n"/>
      <c r="O992" s="21" t="n"/>
      <c r="P992" s="5" t="n"/>
      <c r="Q992" s="5" t="n"/>
      <c r="R992" s="6" t="n"/>
      <c r="S992" s="4" t="n"/>
      <c r="T992" s="4" t="n"/>
      <c r="U992" s="3">
        <f>IF(C992="","",IF(T992="",TODAY()-C992,T992-C992))</f>
        <v/>
      </c>
      <c r="V992" s="5" t="n"/>
      <c r="W992" s="6" t="n"/>
      <c r="X992" s="3">
        <f>IF(P992="","",IFERROR(VLOOKUP(P992,Parâmetros!$J$2:$K$5,2,FALSE),""))</f>
        <v/>
      </c>
      <c r="Y992" s="4">
        <f>IF(OR(C992="",X992=""),"",C992+X992)</f>
        <v/>
      </c>
      <c r="Z992" s="5">
        <f>IF(C992="","",IF(Q992="Concluído","Concluído",IF(Y992&lt;TODAY(),"Vencido",IF(Y992-TODAY()&lt;=2,"A vencer","No prazo"))))</f>
        <v/>
      </c>
      <c r="AA992" s="3">
        <f>IF(OR(Y992="",Q992="Concluído"),"",Y992-TODAY())</f>
        <v/>
      </c>
      <c r="AB992" s="5" t="n"/>
      <c r="AC992" s="5" t="n"/>
      <c r="AD992" s="4" t="n"/>
    </row>
    <row r="993">
      <c r="A993" s="3">
        <f>IF(C993="","",ROW()-1)</f>
        <v/>
      </c>
      <c r="B993" s="4" t="n"/>
      <c r="C993" s="4" t="n"/>
      <c r="D993" s="5" t="n"/>
      <c r="E993" s="5" t="n"/>
      <c r="F993" s="5" t="n"/>
      <c r="G993" s="5" t="n"/>
      <c r="H993" s="5" t="n"/>
      <c r="I993" s="5" t="n"/>
      <c r="J993" s="5" t="n"/>
      <c r="K993" s="6" t="n"/>
      <c r="L993" s="6" t="n"/>
      <c r="M993" s="6" t="n"/>
      <c r="N993" s="5" t="n"/>
      <c r="O993" s="21" t="n"/>
      <c r="P993" s="5" t="n"/>
      <c r="Q993" s="5" t="n"/>
      <c r="R993" s="6" t="n"/>
      <c r="S993" s="4" t="n"/>
      <c r="T993" s="4" t="n"/>
      <c r="U993" s="3">
        <f>IF(C993="","",IF(T993="",TODAY()-C993,T993-C993))</f>
        <v/>
      </c>
      <c r="V993" s="5" t="n"/>
      <c r="W993" s="6" t="n"/>
      <c r="X993" s="3">
        <f>IF(P993="","",IFERROR(VLOOKUP(P993,Parâmetros!$J$2:$K$5,2,FALSE),""))</f>
        <v/>
      </c>
      <c r="Y993" s="4">
        <f>IF(OR(C993="",X993=""),"",C993+X993)</f>
        <v/>
      </c>
      <c r="Z993" s="5">
        <f>IF(C993="","",IF(Q993="Concluído","Concluído",IF(Y993&lt;TODAY(),"Vencido",IF(Y993-TODAY()&lt;=2,"A vencer","No prazo"))))</f>
        <v/>
      </c>
      <c r="AA993" s="3">
        <f>IF(OR(Y993="",Q993="Concluído"),"",Y993-TODAY())</f>
        <v/>
      </c>
      <c r="AB993" s="5" t="n"/>
      <c r="AC993" s="5" t="n"/>
      <c r="AD993" s="4" t="n"/>
    </row>
    <row r="994">
      <c r="A994" s="3">
        <f>IF(C994="","",ROW()-1)</f>
        <v/>
      </c>
      <c r="B994" s="4" t="n"/>
      <c r="C994" s="4" t="n"/>
      <c r="D994" s="5" t="n"/>
      <c r="E994" s="5" t="n"/>
      <c r="F994" s="5" t="n"/>
      <c r="G994" s="5" t="n"/>
      <c r="H994" s="5" t="n"/>
      <c r="I994" s="5" t="n"/>
      <c r="J994" s="5" t="n"/>
      <c r="K994" s="6" t="n"/>
      <c r="L994" s="6" t="n"/>
      <c r="M994" s="6" t="n"/>
      <c r="N994" s="5" t="n"/>
      <c r="O994" s="21" t="n"/>
      <c r="P994" s="5" t="n"/>
      <c r="Q994" s="5" t="n"/>
      <c r="R994" s="6" t="n"/>
      <c r="S994" s="4" t="n"/>
      <c r="T994" s="4" t="n"/>
      <c r="U994" s="3">
        <f>IF(C994="","",IF(T994="",TODAY()-C994,T994-C994))</f>
        <v/>
      </c>
      <c r="V994" s="5" t="n"/>
      <c r="W994" s="6" t="n"/>
      <c r="X994" s="3">
        <f>IF(P994="","",IFERROR(VLOOKUP(P994,Parâmetros!$J$2:$K$5,2,FALSE),""))</f>
        <v/>
      </c>
      <c r="Y994" s="4">
        <f>IF(OR(C994="",X994=""),"",C994+X994)</f>
        <v/>
      </c>
      <c r="Z994" s="5">
        <f>IF(C994="","",IF(Q994="Concluído","Concluído",IF(Y994&lt;TODAY(),"Vencido",IF(Y994-TODAY()&lt;=2,"A vencer","No prazo"))))</f>
        <v/>
      </c>
      <c r="AA994" s="3">
        <f>IF(OR(Y994="",Q994="Concluído"),"",Y994-TODAY())</f>
        <v/>
      </c>
      <c r="AB994" s="5" t="n"/>
      <c r="AC994" s="5" t="n"/>
      <c r="AD994" s="4" t="n"/>
    </row>
    <row r="995">
      <c r="A995" s="3">
        <f>IF(C995="","",ROW()-1)</f>
        <v/>
      </c>
      <c r="B995" s="4" t="n"/>
      <c r="C995" s="4" t="n"/>
      <c r="D995" s="5" t="n"/>
      <c r="E995" s="5" t="n"/>
      <c r="F995" s="5" t="n"/>
      <c r="G995" s="5" t="n"/>
      <c r="H995" s="5" t="n"/>
      <c r="I995" s="5" t="n"/>
      <c r="J995" s="5" t="n"/>
      <c r="K995" s="6" t="n"/>
      <c r="L995" s="6" t="n"/>
      <c r="M995" s="6" t="n"/>
      <c r="N995" s="5" t="n"/>
      <c r="O995" s="21" t="n"/>
      <c r="P995" s="5" t="n"/>
      <c r="Q995" s="5" t="n"/>
      <c r="R995" s="6" t="n"/>
      <c r="S995" s="4" t="n"/>
      <c r="T995" s="4" t="n"/>
      <c r="U995" s="3">
        <f>IF(C995="","",IF(T995="",TODAY()-C995,T995-C995))</f>
        <v/>
      </c>
      <c r="V995" s="5" t="n"/>
      <c r="W995" s="6" t="n"/>
      <c r="X995" s="3">
        <f>IF(P995="","",IFERROR(VLOOKUP(P995,Parâmetros!$J$2:$K$5,2,FALSE),""))</f>
        <v/>
      </c>
      <c r="Y995" s="4">
        <f>IF(OR(C995="",X995=""),"",C995+X995)</f>
        <v/>
      </c>
      <c r="Z995" s="5">
        <f>IF(C995="","",IF(Q995="Concluído","Concluído",IF(Y995&lt;TODAY(),"Vencido",IF(Y995-TODAY()&lt;=2,"A vencer","No prazo"))))</f>
        <v/>
      </c>
      <c r="AA995" s="3">
        <f>IF(OR(Y995="",Q995="Concluído"),"",Y995-TODAY())</f>
        <v/>
      </c>
      <c r="AB995" s="5" t="n"/>
      <c r="AC995" s="5" t="n"/>
      <c r="AD995" s="4" t="n"/>
    </row>
    <row r="996">
      <c r="A996" s="3">
        <f>IF(C996="","",ROW()-1)</f>
        <v/>
      </c>
      <c r="B996" s="4" t="n"/>
      <c r="C996" s="4" t="n"/>
      <c r="D996" s="5" t="n"/>
      <c r="E996" s="5" t="n"/>
      <c r="F996" s="5" t="n"/>
      <c r="G996" s="5" t="n"/>
      <c r="H996" s="5" t="n"/>
      <c r="I996" s="5" t="n"/>
      <c r="J996" s="5" t="n"/>
      <c r="K996" s="6" t="n"/>
      <c r="L996" s="6" t="n"/>
      <c r="M996" s="6" t="n"/>
      <c r="N996" s="5" t="n"/>
      <c r="O996" s="21" t="n"/>
      <c r="P996" s="5" t="n"/>
      <c r="Q996" s="5" t="n"/>
      <c r="R996" s="6" t="n"/>
      <c r="S996" s="4" t="n"/>
      <c r="T996" s="4" t="n"/>
      <c r="U996" s="3">
        <f>IF(C996="","",IF(T996="",TODAY()-C996,T996-C996))</f>
        <v/>
      </c>
      <c r="V996" s="5" t="n"/>
      <c r="W996" s="6" t="n"/>
      <c r="X996" s="3">
        <f>IF(P996="","",IFERROR(VLOOKUP(P996,Parâmetros!$J$2:$K$5,2,FALSE),""))</f>
        <v/>
      </c>
      <c r="Y996" s="4">
        <f>IF(OR(C996="",X996=""),"",C996+X996)</f>
        <v/>
      </c>
      <c r="Z996" s="5">
        <f>IF(C996="","",IF(Q996="Concluído","Concluído",IF(Y996&lt;TODAY(),"Vencido",IF(Y996-TODAY()&lt;=2,"A vencer","No prazo"))))</f>
        <v/>
      </c>
      <c r="AA996" s="3">
        <f>IF(OR(Y996="",Q996="Concluído"),"",Y996-TODAY())</f>
        <v/>
      </c>
      <c r="AB996" s="5" t="n"/>
      <c r="AC996" s="5" t="n"/>
      <c r="AD996" s="4" t="n"/>
    </row>
    <row r="997">
      <c r="A997" s="3">
        <f>IF(C997="","",ROW()-1)</f>
        <v/>
      </c>
      <c r="B997" s="4" t="n"/>
      <c r="C997" s="4" t="n"/>
      <c r="D997" s="5" t="n"/>
      <c r="E997" s="5" t="n"/>
      <c r="F997" s="5" t="n"/>
      <c r="G997" s="5" t="n"/>
      <c r="H997" s="5" t="n"/>
      <c r="I997" s="5" t="n"/>
      <c r="J997" s="5" t="n"/>
      <c r="K997" s="6" t="n"/>
      <c r="L997" s="6" t="n"/>
      <c r="M997" s="6" t="n"/>
      <c r="N997" s="5" t="n"/>
      <c r="O997" s="21" t="n"/>
      <c r="P997" s="5" t="n"/>
      <c r="Q997" s="5" t="n"/>
      <c r="R997" s="6" t="n"/>
      <c r="S997" s="4" t="n"/>
      <c r="T997" s="4" t="n"/>
      <c r="U997" s="3">
        <f>IF(C997="","",IF(T997="",TODAY()-C997,T997-C997))</f>
        <v/>
      </c>
      <c r="V997" s="5" t="n"/>
      <c r="W997" s="6" t="n"/>
      <c r="X997" s="3">
        <f>IF(P997="","",IFERROR(VLOOKUP(P997,Parâmetros!$J$2:$K$5,2,FALSE),""))</f>
        <v/>
      </c>
      <c r="Y997" s="4">
        <f>IF(OR(C997="",X997=""),"",C997+X997)</f>
        <v/>
      </c>
      <c r="Z997" s="5">
        <f>IF(C997="","",IF(Q997="Concluído","Concluído",IF(Y997&lt;TODAY(),"Vencido",IF(Y997-TODAY()&lt;=2,"A vencer","No prazo"))))</f>
        <v/>
      </c>
      <c r="AA997" s="3">
        <f>IF(OR(Y997="",Q997="Concluído"),"",Y997-TODAY())</f>
        <v/>
      </c>
      <c r="AB997" s="5" t="n"/>
      <c r="AC997" s="5" t="n"/>
      <c r="AD997" s="4" t="n"/>
    </row>
    <row r="998">
      <c r="A998" s="3">
        <f>IF(C998="","",ROW()-1)</f>
        <v/>
      </c>
      <c r="B998" s="4" t="n"/>
      <c r="C998" s="4" t="n"/>
      <c r="D998" s="5" t="n"/>
      <c r="E998" s="5" t="n"/>
      <c r="F998" s="5" t="n"/>
      <c r="G998" s="5" t="n"/>
      <c r="H998" s="5" t="n"/>
      <c r="I998" s="5" t="n"/>
      <c r="J998" s="5" t="n"/>
      <c r="K998" s="6" t="n"/>
      <c r="L998" s="6" t="n"/>
      <c r="M998" s="6" t="n"/>
      <c r="N998" s="5" t="n"/>
      <c r="O998" s="21" t="n"/>
      <c r="P998" s="5" t="n"/>
      <c r="Q998" s="5" t="n"/>
      <c r="R998" s="6" t="n"/>
      <c r="S998" s="4" t="n"/>
      <c r="T998" s="4" t="n"/>
      <c r="U998" s="3">
        <f>IF(C998="","",IF(T998="",TODAY()-C998,T998-C998))</f>
        <v/>
      </c>
      <c r="V998" s="5" t="n"/>
      <c r="W998" s="6" t="n"/>
      <c r="X998" s="3">
        <f>IF(P998="","",IFERROR(VLOOKUP(P998,Parâmetros!$J$2:$K$5,2,FALSE),""))</f>
        <v/>
      </c>
      <c r="Y998" s="4">
        <f>IF(OR(C998="",X998=""),"",C998+X998)</f>
        <v/>
      </c>
      <c r="Z998" s="5">
        <f>IF(C998="","",IF(Q998="Concluído","Concluído",IF(Y998&lt;TODAY(),"Vencido",IF(Y998-TODAY()&lt;=2,"A vencer","No prazo"))))</f>
        <v/>
      </c>
      <c r="AA998" s="3">
        <f>IF(OR(Y998="",Q998="Concluído"),"",Y998-TODAY())</f>
        <v/>
      </c>
      <c r="AB998" s="5" t="n"/>
      <c r="AC998" s="5" t="n"/>
      <c r="AD998" s="4" t="n"/>
    </row>
    <row r="999">
      <c r="A999" s="3">
        <f>IF(C999="","",ROW()-1)</f>
        <v/>
      </c>
      <c r="B999" s="4" t="n"/>
      <c r="C999" s="4" t="n"/>
      <c r="D999" s="5" t="n"/>
      <c r="E999" s="5" t="n"/>
      <c r="F999" s="5" t="n"/>
      <c r="G999" s="5" t="n"/>
      <c r="H999" s="5" t="n"/>
      <c r="I999" s="5" t="n"/>
      <c r="J999" s="5" t="n"/>
      <c r="K999" s="6" t="n"/>
      <c r="L999" s="6" t="n"/>
      <c r="M999" s="6" t="n"/>
      <c r="N999" s="5" t="n"/>
      <c r="O999" s="21" t="n"/>
      <c r="P999" s="5" t="n"/>
      <c r="Q999" s="5" t="n"/>
      <c r="R999" s="6" t="n"/>
      <c r="S999" s="4" t="n"/>
      <c r="T999" s="4" t="n"/>
      <c r="U999" s="3">
        <f>IF(C999="","",IF(T999="",TODAY()-C999,T999-C999))</f>
        <v/>
      </c>
      <c r="V999" s="5" t="n"/>
      <c r="W999" s="6" t="n"/>
      <c r="X999" s="3">
        <f>IF(P999="","",IFERROR(VLOOKUP(P999,Parâmetros!$J$2:$K$5,2,FALSE),""))</f>
        <v/>
      </c>
      <c r="Y999" s="4">
        <f>IF(OR(C999="",X999=""),"",C999+X999)</f>
        <v/>
      </c>
      <c r="Z999" s="5">
        <f>IF(C999="","",IF(Q999="Concluído","Concluído",IF(Y999&lt;TODAY(),"Vencido",IF(Y999-TODAY()&lt;=2,"A vencer","No prazo"))))</f>
        <v/>
      </c>
      <c r="AA999" s="3">
        <f>IF(OR(Y999="",Q999="Concluído"),"",Y999-TODAY())</f>
        <v/>
      </c>
      <c r="AB999" s="5" t="n"/>
      <c r="AC999" s="5" t="n"/>
      <c r="AD999" s="4" t="n"/>
    </row>
    <row r="1000">
      <c r="A1000" s="3">
        <f>IF(C1000="","",ROW()-1)</f>
        <v/>
      </c>
      <c r="B1000" s="4" t="n"/>
      <c r="C1000" s="4" t="n"/>
      <c r="D1000" s="5" t="n"/>
      <c r="E1000" s="5" t="n"/>
      <c r="F1000" s="5" t="n"/>
      <c r="G1000" s="5" t="n"/>
      <c r="H1000" s="5" t="n"/>
      <c r="I1000" s="5" t="n"/>
      <c r="J1000" s="5" t="n"/>
      <c r="K1000" s="6" t="n"/>
      <c r="L1000" s="6" t="n"/>
      <c r="M1000" s="6" t="n"/>
      <c r="N1000" s="5" t="n"/>
      <c r="O1000" s="21" t="n"/>
      <c r="P1000" s="5" t="n"/>
      <c r="Q1000" s="5" t="n"/>
      <c r="R1000" s="6" t="n"/>
      <c r="S1000" s="4" t="n"/>
      <c r="T1000" s="4" t="n"/>
      <c r="U1000" s="3">
        <f>IF(C1000="","",IF(T1000="",TODAY()-C1000,T1000-C1000))</f>
        <v/>
      </c>
      <c r="V1000" s="5" t="n"/>
      <c r="W1000" s="6" t="n"/>
      <c r="X1000" s="3">
        <f>IF(P1000="","",IFERROR(VLOOKUP(P1000,Parâmetros!$J$2:$K$5,2,FALSE),""))</f>
        <v/>
      </c>
      <c r="Y1000" s="4">
        <f>IF(OR(C1000="",X1000=""),"",C1000+X1000)</f>
        <v/>
      </c>
      <c r="Z1000" s="5">
        <f>IF(C1000="","",IF(Q1000="Concluído","Concluído",IF(Y1000&lt;TODAY(),"Vencido",IF(Y1000-TODAY()&lt;=2,"A vencer","No prazo"))))</f>
        <v/>
      </c>
      <c r="AA1000" s="3">
        <f>IF(OR(Y1000="",Q1000="Concluído"),"",Y1000-TODAY())</f>
        <v/>
      </c>
      <c r="AB1000" s="5" t="n"/>
      <c r="AC1000" s="5" t="n"/>
      <c r="AD1000" s="4" t="n"/>
    </row>
    <row r="1001">
      <c r="A1001" s="3">
        <f>IF(C1001="","",ROW()-1)</f>
        <v/>
      </c>
      <c r="B1001" s="4" t="n"/>
      <c r="C1001" s="4" t="n"/>
      <c r="D1001" s="5" t="n"/>
      <c r="E1001" s="5" t="n"/>
      <c r="F1001" s="5" t="n"/>
      <c r="G1001" s="5" t="n"/>
      <c r="H1001" s="5" t="n"/>
      <c r="I1001" s="5" t="n"/>
      <c r="J1001" s="5" t="n"/>
      <c r="K1001" s="6" t="n"/>
      <c r="L1001" s="6" t="n"/>
      <c r="M1001" s="6" t="n"/>
      <c r="N1001" s="5" t="n"/>
      <c r="O1001" s="21" t="n"/>
      <c r="P1001" s="5" t="n"/>
      <c r="Q1001" s="5" t="n"/>
      <c r="R1001" s="6" t="n"/>
      <c r="S1001" s="4" t="n"/>
      <c r="T1001" s="4" t="n"/>
      <c r="U1001" s="3">
        <f>IF(C1001="","",IF(T1001="",TODAY()-C1001,T1001-C1001))</f>
        <v/>
      </c>
      <c r="V1001" s="5" t="n"/>
      <c r="W1001" s="6" t="n"/>
      <c r="X1001" s="3">
        <f>IF(P1001="","",IFERROR(VLOOKUP(P1001,Parâmetros!$J$2:$K$5,2,FALSE),""))</f>
        <v/>
      </c>
      <c r="Y1001" s="4">
        <f>IF(OR(C1001="",X1001=""),"",C1001+X1001)</f>
        <v/>
      </c>
      <c r="Z1001" s="5">
        <f>IF(C1001="","",IF(Q1001="Concluído","Concluído",IF(Y1001&lt;TODAY(),"Vencido",IF(Y1001-TODAY()&lt;=2,"A vencer","No prazo"))))</f>
        <v/>
      </c>
      <c r="AA1001" s="3">
        <f>IF(OR(Y1001="",Q1001="Concluído"),"",Y1001-TODAY())</f>
        <v/>
      </c>
      <c r="AB1001" s="5" t="n"/>
      <c r="AC1001" s="5" t="n"/>
      <c r="AD1001" s="4" t="n"/>
    </row>
  </sheetData>
  <conditionalFormatting sqref="Z2:Z1001">
    <cfRule type="expression" priority="1" dxfId="3">
      <formula>$Z2="Vencido"</formula>
    </cfRule>
    <cfRule type="expression" priority="2" dxfId="2">
      <formula>$Z2="A vencer"</formula>
    </cfRule>
    <cfRule type="expression" priority="3" dxfId="1">
      <formula>$Z2="No prazo"</formula>
    </cfRule>
    <cfRule type="expression" priority="4" dxfId="0">
      <formula>$Z2="Concluído"</formula>
    </cfRule>
  </conditionalFormatting>
  <dataValidations count="3">
    <dataValidation sqref="P2:P5000" showDropDown="0" showInputMessage="0" showErrorMessage="0" allowBlank="0" type="list">
      <formula1>"Baixa,Média,Alta,Crítica"</formula1>
    </dataValidation>
    <dataValidation sqref="Q2:Q5000" showDropDown="0" showInputMessage="0" showErrorMessage="0" allowBlank="0" type="list">
      <formula1>"Aberto,Em Análise,Em Tratativa,Aguardando Terceiros,Concluído,Cancelado"</formula1>
    </dataValidation>
    <dataValidation sqref="V2:V5000" showDropDown="0" showInputMessage="0" showErrorMessage="0" allowBlank="0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topLeftCell="C1" workbookViewId="0">
      <selection activeCell="O5" sqref="O5"/>
    </sheetView>
  </sheetViews>
  <sheetFormatPr baseColWidth="8" defaultRowHeight="15"/>
  <cols>
    <col width="22" customWidth="1" style="18" min="7" max="7"/>
    <col width="24" customWidth="1" style="18" min="10" max="10"/>
    <col width="16" customWidth="1" style="18" min="11" max="11"/>
    <col width="20" customWidth="1" style="18" min="13" max="13"/>
    <col width="20" customWidth="1" style="18" min="15" max="15"/>
  </cols>
  <sheetData>
    <row r="1">
      <c r="A1" s="1" t="inlineStr">
        <is>
          <t>Status</t>
        </is>
      </c>
      <c r="B1" s="1" t="n"/>
      <c r="C1" s="1" t="inlineStr">
        <is>
          <t>Prioridade</t>
        </is>
      </c>
      <c r="D1" s="1" t="n"/>
      <c r="E1" s="1" t="inlineStr">
        <is>
          <t>Recorrente?</t>
        </is>
      </c>
      <c r="F1" s="1" t="n"/>
      <c r="G1" s="1" t="inlineStr">
        <is>
          <t>Categoria da Dor</t>
        </is>
      </c>
      <c r="H1" s="1" t="n"/>
      <c r="I1" s="1" t="n"/>
      <c r="J1" s="1" t="inlineStr">
        <is>
          <t>Prioridade</t>
        </is>
      </c>
      <c r="K1" s="1" t="inlineStr">
        <is>
          <t>SLA (dias)</t>
        </is>
      </c>
      <c r="L1" s="1" t="n"/>
      <c r="M1" s="1" t="inlineStr">
        <is>
          <t>Setor</t>
        </is>
      </c>
      <c r="N1" s="1" t="n"/>
      <c r="O1" s="1" t="inlineStr">
        <is>
          <t>Filial</t>
        </is>
      </c>
    </row>
    <row r="2">
      <c r="A2" t="inlineStr">
        <is>
          <t>Aberto</t>
        </is>
      </c>
      <c r="C2" t="inlineStr">
        <is>
          <t>Baixa</t>
        </is>
      </c>
      <c r="E2" t="inlineStr">
        <is>
          <t>Sim</t>
        </is>
      </c>
      <c r="G2" t="inlineStr">
        <is>
          <t>Fiscal</t>
        </is>
      </c>
      <c r="J2" t="inlineStr">
        <is>
          <t>Baixa</t>
        </is>
      </c>
      <c r="K2" t="n">
        <v>15</v>
      </c>
      <c r="M2" t="inlineStr">
        <is>
          <t>Fiscal</t>
        </is>
      </c>
      <c r="O2" t="inlineStr">
        <is>
          <t>Rondonópolis</t>
        </is>
      </c>
    </row>
    <row r="3">
      <c r="A3" t="inlineStr">
        <is>
          <t>Em Análise</t>
        </is>
      </c>
      <c r="C3" t="inlineStr">
        <is>
          <t>Média</t>
        </is>
      </c>
      <c r="E3" t="inlineStr">
        <is>
          <t>Não</t>
        </is>
      </c>
      <c r="G3" t="inlineStr">
        <is>
          <t>Estoque</t>
        </is>
      </c>
      <c r="J3" t="inlineStr">
        <is>
          <t>Média</t>
        </is>
      </c>
      <c r="K3" t="n">
        <v>10</v>
      </c>
      <c r="M3" t="inlineStr">
        <is>
          <t>Estoque</t>
        </is>
      </c>
      <c r="O3" t="inlineStr">
        <is>
          <t>Paranaguá</t>
        </is>
      </c>
    </row>
    <row r="4">
      <c r="A4" t="inlineStr">
        <is>
          <t>Em Tratativa</t>
        </is>
      </c>
      <c r="C4" t="inlineStr">
        <is>
          <t>Alta</t>
        </is>
      </c>
      <c r="G4" t="inlineStr">
        <is>
          <t>Financeiro</t>
        </is>
      </c>
      <c r="J4" t="inlineStr">
        <is>
          <t>Alta</t>
        </is>
      </c>
      <c r="K4" t="n">
        <v>5</v>
      </c>
      <c r="M4" t="inlineStr">
        <is>
          <t>Financeiro</t>
        </is>
      </c>
      <c r="O4" t="inlineStr">
        <is>
          <t>Matupá</t>
        </is>
      </c>
    </row>
    <row r="5">
      <c r="A5" t="inlineStr">
        <is>
          <t>Aguardando Terceiros</t>
        </is>
      </c>
      <c r="C5" t="inlineStr">
        <is>
          <t>Crítica</t>
        </is>
      </c>
      <c r="G5" t="inlineStr">
        <is>
          <t>Faturamento</t>
        </is>
      </c>
      <c r="J5" t="inlineStr">
        <is>
          <t>Crítica</t>
        </is>
      </c>
      <c r="K5" t="n">
        <v>2</v>
      </c>
      <c r="M5" t="inlineStr">
        <is>
          <t>Faturamento</t>
        </is>
      </c>
    </row>
    <row r="6">
      <c r="A6" t="inlineStr">
        <is>
          <t>Concluído</t>
        </is>
      </c>
      <c r="G6" t="inlineStr">
        <is>
          <t>Logística</t>
        </is>
      </c>
      <c r="M6" t="inlineStr">
        <is>
          <t>Logística</t>
        </is>
      </c>
    </row>
    <row r="7">
      <c r="A7" t="inlineStr">
        <is>
          <t>Cancelado</t>
        </is>
      </c>
      <c r="G7" t="inlineStr">
        <is>
          <t>Comercial</t>
        </is>
      </c>
      <c r="J7" t="inlineStr">
        <is>
          <t>Orientação</t>
        </is>
      </c>
      <c r="M7" t="inlineStr">
        <is>
          <t>Comercial</t>
        </is>
      </c>
    </row>
    <row r="8" ht="60" customHeight="1" s="18">
      <c r="G8" t="inlineStr">
        <is>
          <t>TI/Sistemas</t>
        </is>
      </c>
      <c r="J8" s="8" t="inlineStr">
        <is>
          <t>Ajuste os SLAs na coluna K. As fórmulas do monitoramento usarão estes prazos.</t>
        </is>
      </c>
      <c r="M8" t="inlineStr">
        <is>
          <t>TI</t>
        </is>
      </c>
    </row>
    <row r="9">
      <c r="G9" t="inlineStr">
        <is>
          <t>Qualidade</t>
        </is>
      </c>
      <c r="M9" t="inlineStr">
        <is>
          <t>Suprimentos</t>
        </is>
      </c>
    </row>
    <row r="10">
      <c r="G10" t="inlineStr">
        <is>
          <t>Compliance</t>
        </is>
      </c>
      <c r="M10" t="inlineStr">
        <is>
          <t>Qualidade</t>
        </is>
      </c>
    </row>
    <row r="11">
      <c r="G11" t="inlineStr">
        <is>
          <t>Outros</t>
        </is>
      </c>
      <c r="M11" t="inlineStr">
        <is>
          <t>Operações</t>
        </is>
      </c>
    </row>
    <row r="12">
      <c r="M12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Marcus Vinicius Bernardi Calegari</dc:creator>
  <dcterms:created xsi:type="dcterms:W3CDTF">2026-09-17T13:33:25Z</dcterms:created>
  <dcterms:modified xsi:type="dcterms:W3CDTF">2026-09-28T12:39:33Z</dcterms:modified>
  <cp:lastModifiedBy>Marcus Vinicius Bernardi Calegari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0x0101008F4D5BAF70AC0648A64888295D78FEE2</vt:lpwstr>
  </property>
</Properties>
</file>